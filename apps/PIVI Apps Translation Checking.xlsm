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jlr\l10n\apps\"/>
    </mc:Choice>
  </mc:AlternateContent>
  <workbookProtection workbookAlgorithmName="SHA-512" workbookHashValue="nGuBsAxFvneiH9rMyf2jLYMQF8AnSWTN+qQ7tHJtU0+LbWgE/iKCs6a2p8HyKQckPcwCTt/ePdUdyTGGPoL2wg==" workbookSaltValue="6wdAcqQNX8BTJvGO0RiwAQ==" workbookSpinCount="100000" lockStructure="1"/>
  <bookViews>
    <workbookView xWindow="0" yWindow="0" windowWidth="26250" windowHeight="6690" tabRatio="237"/>
  </bookViews>
  <sheets>
    <sheet name="Main" sheetId="1" r:id="rId1"/>
    <sheet name="HiddenWorkings" sheetId="2" state="hidden" r:id="rId2"/>
  </sheets>
  <definedNames>
    <definedName name="Languages">HiddenWorkings!$H$1:$H$31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2" l="1"/>
  <c r="D4" i="2"/>
  <c r="D5" i="2"/>
  <c r="D6" i="2"/>
  <c r="D7" i="2"/>
  <c r="D8" i="2"/>
  <c r="D9" i="2"/>
  <c r="D10" i="2"/>
  <c r="D11" i="2"/>
  <c r="D12" i="2"/>
  <c r="D2" i="2"/>
  <c r="D13" i="2"/>
  <c r="D14" i="2"/>
  <c r="D15" i="2"/>
  <c r="D16" i="2"/>
  <c r="D17" i="2"/>
  <c r="D18" i="2"/>
  <c r="D19" i="2"/>
  <c r="D20" i="2"/>
  <c r="D21" i="2"/>
  <c r="D22" i="2"/>
  <c r="D23" i="2"/>
  <c r="D24" i="2"/>
  <c r="D25" i="2"/>
  <c r="D26" i="2"/>
  <c r="D27" i="2"/>
  <c r="D28" i="2"/>
  <c r="D29" i="2"/>
  <c r="D30" i="2"/>
  <c r="D31" i="2"/>
  <c r="L6" i="1"/>
  <c r="L7" i="1"/>
  <c r="L8" i="1"/>
  <c r="B1" i="2"/>
  <c r="A1" i="2" s="1"/>
  <c r="A2" i="2"/>
  <c r="H15" i="1" l="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I1" i="2"/>
  <c r="A7" i="2"/>
  <c r="I6" i="2" s="1"/>
  <c r="A8" i="2"/>
  <c r="I7" i="2" s="1"/>
  <c r="A9" i="2"/>
  <c r="I8" i="2" s="1"/>
  <c r="A10" i="2"/>
  <c r="I9" i="2" s="1"/>
  <c r="A11" i="2"/>
  <c r="I10" i="2" s="1"/>
  <c r="A12" i="2"/>
  <c r="I11" i="2" s="1"/>
  <c r="A13" i="2"/>
  <c r="I12" i="2" s="1"/>
  <c r="A14" i="2"/>
  <c r="I13" i="2" s="1"/>
  <c r="A15" i="2"/>
  <c r="I14" i="2" s="1"/>
  <c r="A16" i="2"/>
  <c r="I15" i="2" s="1"/>
  <c r="A17" i="2"/>
  <c r="I16" i="2" s="1"/>
  <c r="A18" i="2"/>
  <c r="I17" i="2" s="1"/>
  <c r="A19" i="2"/>
  <c r="I18" i="2" s="1"/>
  <c r="A20" i="2"/>
  <c r="I19" i="2" s="1"/>
  <c r="A21" i="2"/>
  <c r="I20" i="2" s="1"/>
  <c r="A22" i="2"/>
  <c r="I21" i="2" s="1"/>
  <c r="A23" i="2"/>
  <c r="I22" i="2" s="1"/>
  <c r="A24" i="2"/>
  <c r="I23" i="2" s="1"/>
  <c r="A25" i="2"/>
  <c r="I24" i="2" s="1"/>
  <c r="A26" i="2"/>
  <c r="I25" i="2" s="1"/>
  <c r="A27" i="2"/>
  <c r="I26" i="2" s="1"/>
  <c r="A28" i="2"/>
  <c r="I27" i="2" s="1"/>
  <c r="A29" i="2"/>
  <c r="I28" i="2" s="1"/>
  <c r="A30" i="2"/>
  <c r="I29" i="2" s="1"/>
  <c r="A31" i="2"/>
  <c r="I30" i="2" s="1"/>
  <c r="A32" i="2"/>
  <c r="I31" i="2" s="1"/>
  <c r="A33" i="2"/>
  <c r="I32" i="2" s="1"/>
  <c r="A34" i="2"/>
  <c r="I33" i="2" s="1"/>
  <c r="A35" i="2"/>
  <c r="I34" i="2" s="1"/>
  <c r="A36" i="2"/>
  <c r="I35" i="2" s="1"/>
  <c r="A37" i="2"/>
  <c r="I36" i="2" s="1"/>
  <c r="A38" i="2"/>
  <c r="I37" i="2" s="1"/>
  <c r="A39" i="2"/>
  <c r="I38" i="2" s="1"/>
  <c r="A40" i="2"/>
  <c r="I39" i="2" s="1"/>
  <c r="A41" i="2"/>
  <c r="I40" i="2" s="1"/>
  <c r="A42" i="2"/>
  <c r="I41" i="2" s="1"/>
  <c r="A43" i="2"/>
  <c r="I42" i="2" s="1"/>
  <c r="A44" i="2"/>
  <c r="I43" i="2" s="1"/>
  <c r="A45" i="2"/>
  <c r="I44" i="2" s="1"/>
  <c r="A46" i="2"/>
  <c r="I45" i="2" s="1"/>
  <c r="A47" i="2"/>
  <c r="I46" i="2" s="1"/>
  <c r="A48" i="2"/>
  <c r="I47" i="2" s="1"/>
  <c r="A49" i="2"/>
  <c r="I48" i="2" s="1"/>
  <c r="A50" i="2"/>
  <c r="I49" i="2" s="1"/>
  <c r="A51" i="2"/>
  <c r="I50" i="2" s="1"/>
  <c r="A52" i="2"/>
  <c r="I51" i="2" s="1"/>
  <c r="A53" i="2"/>
  <c r="I52" i="2" s="1"/>
  <c r="A54" i="2"/>
  <c r="I53" i="2" s="1"/>
  <c r="A55" i="2"/>
  <c r="I54" i="2" s="1"/>
  <c r="A56" i="2"/>
  <c r="I55" i="2" s="1"/>
  <c r="A57" i="2"/>
  <c r="I56" i="2" s="1"/>
  <c r="A58" i="2"/>
  <c r="I57" i="2" s="1"/>
  <c r="A59" i="2"/>
  <c r="I58" i="2" s="1"/>
  <c r="A60" i="2"/>
  <c r="I59" i="2" s="1"/>
  <c r="A61" i="2"/>
  <c r="I60" i="2" s="1"/>
  <c r="A62" i="2"/>
  <c r="I61" i="2" s="1"/>
  <c r="A63" i="2"/>
  <c r="I62" i="2" s="1"/>
  <c r="A64" i="2"/>
  <c r="I63" i="2" s="1"/>
  <c r="A65" i="2"/>
  <c r="I64" i="2" s="1"/>
  <c r="A66" i="2"/>
  <c r="I65" i="2" s="1"/>
  <c r="A67" i="2"/>
  <c r="I66" i="2" s="1"/>
  <c r="A68" i="2"/>
  <c r="I67" i="2" s="1"/>
  <c r="A69" i="2"/>
  <c r="I68" i="2" s="1"/>
  <c r="A70" i="2"/>
  <c r="I69" i="2" s="1"/>
  <c r="A71" i="2"/>
  <c r="I70" i="2" s="1"/>
  <c r="A72" i="2"/>
  <c r="I71" i="2" s="1"/>
  <c r="A73" i="2"/>
  <c r="I72" i="2" s="1"/>
  <c r="A74" i="2"/>
  <c r="I73" i="2" s="1"/>
  <c r="A75" i="2"/>
  <c r="I74" i="2" s="1"/>
  <c r="A76" i="2"/>
  <c r="I75" i="2" s="1"/>
  <c r="A77" i="2"/>
  <c r="I76" i="2" s="1"/>
  <c r="A78" i="2"/>
  <c r="I77" i="2" s="1"/>
  <c r="A79" i="2"/>
  <c r="I78" i="2" s="1"/>
  <c r="A80" i="2"/>
  <c r="I79" i="2" s="1"/>
  <c r="A81" i="2"/>
  <c r="I80" i="2" s="1"/>
  <c r="A82" i="2"/>
  <c r="I81" i="2" s="1"/>
  <c r="A83" i="2"/>
  <c r="I82" i="2" s="1"/>
  <c r="A84" i="2"/>
  <c r="I83" i="2" s="1"/>
  <c r="A85" i="2"/>
  <c r="I84" i="2" s="1"/>
  <c r="A86" i="2"/>
  <c r="I85" i="2" s="1"/>
  <c r="A87" i="2"/>
  <c r="I86" i="2" s="1"/>
  <c r="A88" i="2"/>
  <c r="I87" i="2" s="1"/>
  <c r="A89" i="2"/>
  <c r="I88" i="2" s="1"/>
  <c r="A90" i="2"/>
  <c r="I89" i="2" s="1"/>
  <c r="A91" i="2"/>
  <c r="I90" i="2" s="1"/>
  <c r="A92" i="2"/>
  <c r="I91" i="2" s="1"/>
  <c r="A93" i="2"/>
  <c r="I92" i="2" s="1"/>
  <c r="A94" i="2"/>
  <c r="I93" i="2" s="1"/>
  <c r="A95" i="2"/>
  <c r="I94" i="2" s="1"/>
  <c r="A96" i="2"/>
  <c r="I95" i="2" s="1"/>
  <c r="A97" i="2"/>
  <c r="I96" i="2" s="1"/>
  <c r="A98" i="2"/>
  <c r="I97" i="2" s="1"/>
  <c r="A99" i="2"/>
  <c r="I98" i="2" s="1"/>
  <c r="A100" i="2"/>
  <c r="I99" i="2" s="1"/>
  <c r="A101" i="2"/>
  <c r="I100" i="2" s="1"/>
  <c r="A102" i="2"/>
  <c r="I101" i="2" s="1"/>
  <c r="A103" i="2"/>
  <c r="I102" i="2" s="1"/>
  <c r="A104" i="2"/>
  <c r="I103" i="2" s="1"/>
  <c r="A105" i="2"/>
  <c r="I104" i="2" s="1"/>
  <c r="A106" i="2"/>
  <c r="I105" i="2" s="1"/>
  <c r="A107" i="2"/>
  <c r="I106" i="2" s="1"/>
  <c r="A108" i="2"/>
  <c r="I107" i="2" s="1"/>
  <c r="A109" i="2"/>
  <c r="I108" i="2" s="1"/>
  <c r="A110" i="2"/>
  <c r="I109" i="2" s="1"/>
  <c r="A111" i="2"/>
  <c r="I110" i="2" s="1"/>
  <c r="A112" i="2"/>
  <c r="I111" i="2" s="1"/>
  <c r="A113" i="2"/>
  <c r="I112" i="2" s="1"/>
  <c r="A114" i="2"/>
  <c r="I113" i="2" s="1"/>
  <c r="A115" i="2"/>
  <c r="I114" i="2" s="1"/>
  <c r="A116" i="2"/>
  <c r="I115" i="2" s="1"/>
  <c r="A117" i="2"/>
  <c r="I116" i="2" s="1"/>
  <c r="A118" i="2"/>
  <c r="I117" i="2" s="1"/>
  <c r="A119" i="2"/>
  <c r="I118" i="2" s="1"/>
  <c r="A120" i="2"/>
  <c r="I119" i="2" s="1"/>
  <c r="A121" i="2"/>
  <c r="I120" i="2" s="1"/>
  <c r="A122" i="2"/>
  <c r="I121" i="2" s="1"/>
  <c r="A123" i="2"/>
  <c r="I122" i="2" s="1"/>
  <c r="A124" i="2"/>
  <c r="I123" i="2" s="1"/>
  <c r="A125" i="2"/>
  <c r="I124" i="2" s="1"/>
  <c r="A126" i="2"/>
  <c r="I125" i="2" s="1"/>
  <c r="A127" i="2"/>
  <c r="I126" i="2" s="1"/>
  <c r="A128" i="2"/>
  <c r="I127" i="2" s="1"/>
  <c r="A129" i="2"/>
  <c r="I128" i="2" s="1"/>
  <c r="A130" i="2"/>
  <c r="I129" i="2" s="1"/>
  <c r="A131" i="2"/>
  <c r="I130" i="2" s="1"/>
  <c r="A132" i="2"/>
  <c r="I131" i="2" s="1"/>
  <c r="A133" i="2"/>
  <c r="I132" i="2" s="1"/>
  <c r="A134" i="2"/>
  <c r="I133" i="2" s="1"/>
  <c r="A135" i="2"/>
  <c r="I134" i="2" s="1"/>
  <c r="A136" i="2"/>
  <c r="I135" i="2" s="1"/>
  <c r="A137" i="2"/>
  <c r="I136" i="2" s="1"/>
  <c r="A138" i="2"/>
  <c r="I137" i="2" s="1"/>
  <c r="A139" i="2"/>
  <c r="I138" i="2" s="1"/>
  <c r="A140" i="2"/>
  <c r="I139" i="2" s="1"/>
  <c r="A141" i="2"/>
  <c r="I140" i="2" s="1"/>
  <c r="A142" i="2"/>
  <c r="I141" i="2" s="1"/>
  <c r="A143" i="2"/>
  <c r="I142" i="2" s="1"/>
  <c r="A144" i="2"/>
  <c r="I143" i="2" s="1"/>
  <c r="A145" i="2"/>
  <c r="I144" i="2" s="1"/>
  <c r="A146" i="2"/>
  <c r="I145" i="2" s="1"/>
  <c r="A147" i="2"/>
  <c r="I146" i="2" s="1"/>
  <c r="A148" i="2"/>
  <c r="I147" i="2" s="1"/>
  <c r="A149" i="2"/>
  <c r="I148" i="2" s="1"/>
  <c r="A150" i="2"/>
  <c r="I149" i="2" s="1"/>
  <c r="A151" i="2"/>
  <c r="I150" i="2" s="1"/>
  <c r="A152" i="2"/>
  <c r="I151" i="2" s="1"/>
  <c r="A153" i="2"/>
  <c r="I152" i="2" s="1"/>
  <c r="A154" i="2"/>
  <c r="I153" i="2" s="1"/>
  <c r="A155" i="2"/>
  <c r="I154" i="2" s="1"/>
  <c r="A156" i="2"/>
  <c r="I155" i="2" s="1"/>
  <c r="A157" i="2"/>
  <c r="I156" i="2" s="1"/>
  <c r="A158" i="2"/>
  <c r="I157" i="2" s="1"/>
  <c r="A159" i="2"/>
  <c r="I158" i="2" s="1"/>
  <c r="A160" i="2"/>
  <c r="I159" i="2" s="1"/>
  <c r="A161" i="2"/>
  <c r="I160" i="2" s="1"/>
  <c r="A162" i="2"/>
  <c r="I161" i="2" s="1"/>
  <c r="A163" i="2"/>
  <c r="I162" i="2" s="1"/>
  <c r="A164" i="2"/>
  <c r="I163" i="2" s="1"/>
  <c r="A165" i="2"/>
  <c r="I164" i="2" s="1"/>
  <c r="A166" i="2"/>
  <c r="I165" i="2" s="1"/>
  <c r="A167" i="2"/>
  <c r="I166" i="2" s="1"/>
  <c r="A168" i="2"/>
  <c r="I167" i="2" s="1"/>
  <c r="A169" i="2"/>
  <c r="I168" i="2" s="1"/>
  <c r="A170" i="2"/>
  <c r="I169" i="2" s="1"/>
  <c r="A171" i="2"/>
  <c r="I170" i="2" s="1"/>
  <c r="A172" i="2"/>
  <c r="I171" i="2" s="1"/>
  <c r="A173" i="2"/>
  <c r="I172" i="2" s="1"/>
  <c r="A174" i="2"/>
  <c r="I173" i="2" s="1"/>
  <c r="A175" i="2"/>
  <c r="I174" i="2" s="1"/>
  <c r="A176" i="2"/>
  <c r="I175" i="2" s="1"/>
  <c r="A177" i="2"/>
  <c r="I176" i="2" s="1"/>
  <c r="A178" i="2"/>
  <c r="I177" i="2" s="1"/>
  <c r="A179" i="2"/>
  <c r="I178" i="2" s="1"/>
  <c r="A180" i="2"/>
  <c r="I179" i="2" s="1"/>
  <c r="A181" i="2"/>
  <c r="I180" i="2" s="1"/>
  <c r="A182" i="2"/>
  <c r="I181" i="2" s="1"/>
  <c r="A183" i="2"/>
  <c r="I182" i="2" s="1"/>
  <c r="A184" i="2"/>
  <c r="I183" i="2" s="1"/>
  <c r="A185" i="2"/>
  <c r="I184" i="2" s="1"/>
  <c r="A186" i="2"/>
  <c r="I185" i="2" s="1"/>
  <c r="A187" i="2"/>
  <c r="I186" i="2" s="1"/>
  <c r="A188" i="2"/>
  <c r="I187" i="2" s="1"/>
  <c r="A189" i="2"/>
  <c r="I188" i="2" s="1"/>
  <c r="A190" i="2"/>
  <c r="I189" i="2" s="1"/>
  <c r="A191" i="2"/>
  <c r="I190" i="2" s="1"/>
  <c r="A192" i="2"/>
  <c r="I191" i="2" s="1"/>
  <c r="A193" i="2"/>
  <c r="I192" i="2" s="1"/>
  <c r="A194" i="2"/>
  <c r="I193" i="2" s="1"/>
  <c r="A195" i="2"/>
  <c r="I194" i="2" s="1"/>
  <c r="A196" i="2"/>
  <c r="I195" i="2" s="1"/>
  <c r="A197" i="2"/>
  <c r="I196" i="2" s="1"/>
  <c r="A198" i="2"/>
  <c r="I197" i="2" s="1"/>
  <c r="A199" i="2"/>
  <c r="I198" i="2" s="1"/>
  <c r="A200" i="2"/>
  <c r="I199" i="2" s="1"/>
  <c r="A201" i="2"/>
  <c r="I200" i="2" s="1"/>
  <c r="A202" i="2"/>
  <c r="I201" i="2" s="1"/>
  <c r="A203" i="2"/>
  <c r="I202" i="2" s="1"/>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L5" i="1" l="1"/>
  <c r="H6" i="1"/>
  <c r="A4" i="2" s="1"/>
  <c r="I3" i="2" s="1"/>
  <c r="H7" i="1"/>
  <c r="A5" i="2" s="1"/>
  <c r="I4" i="2" s="1"/>
  <c r="H8" i="1"/>
  <c r="A6" i="2" s="1"/>
  <c r="I5" i="2" s="1"/>
  <c r="H9" i="1"/>
  <c r="H10" i="1"/>
  <c r="H11" i="1"/>
  <c r="H12" i="1"/>
  <c r="H13" i="1"/>
  <c r="H14" i="1"/>
  <c r="H5" i="1"/>
  <c r="A3" i="2" l="1"/>
  <c r="I2" i="2" s="1"/>
  <c r="J1" i="2" l="1"/>
  <c r="K1" i="2"/>
</calcChain>
</file>

<file path=xl/sharedStrings.xml><?xml version="1.0" encoding="utf-8"?>
<sst xmlns="http://schemas.openxmlformats.org/spreadsheetml/2006/main" count="76" uniqueCount="65">
  <si>
    <t>Unique ID</t>
  </si>
  <si>
    <t>Json File</t>
  </si>
  <si>
    <t>Usage</t>
  </si>
  <si>
    <t>Screen #</t>
  </si>
  <si>
    <t>Context</t>
  </si>
  <si>
    <t>English</t>
  </si>
  <si>
    <t>Translation</t>
  </si>
  <si>
    <t>Font Size</t>
  </si>
  <si>
    <t>Tracking</t>
  </si>
  <si>
    <t>Lines</t>
  </si>
  <si>
    <t>Height</t>
  </si>
  <si>
    <t>Length</t>
  </si>
  <si>
    <t>CSS</t>
  </si>
  <si>
    <t>weat_My_location</t>
  </si>
  <si>
    <t>Weather.json</t>
  </si>
  <si>
    <t>Descriptive text - this will be explanation text</t>
  </si>
  <si>
    <t>Button text. When selected shows the latest weather at a drivers current location</t>
  </si>
  <si>
    <t>MY LOCATION</t>
  </si>
  <si>
    <t>Size_38pt_TR_200</t>
  </si>
  <si>
    <t>weat_Main_Temperature</t>
  </si>
  <si>
    <t>Weather temperature with degrees symbol. __PARAM0__ is the temperature number.
Exmaple: 150°</t>
  </si>
  <si>
    <t>__PARAM0__°</t>
  </si>
  <si>
    <t>Size_200pt_TR_MINUS_50</t>
  </si>
  <si>
    <t>weat_Partly_sunny</t>
  </si>
  <si>
    <t>Weather condition description text</t>
  </si>
  <si>
    <t>Partly sunny</t>
  </si>
  <si>
    <t>Size_38pt_TR_50</t>
  </si>
  <si>
    <t>WEATHER</t>
  </si>
  <si>
    <t>APP:</t>
  </si>
  <si>
    <t>LANGUAGE:</t>
  </si>
  <si>
    <t>ar-SA</t>
  </si>
  <si>
    <t>bg-BG</t>
  </si>
  <si>
    <t>cs-CZ</t>
  </si>
  <si>
    <t>da-DK</t>
  </si>
  <si>
    <t>de-DE</t>
  </si>
  <si>
    <t>el-GR</t>
  </si>
  <si>
    <t>en-GB</t>
  </si>
  <si>
    <t>en-US</t>
  </si>
  <si>
    <t>es-CO</t>
  </si>
  <si>
    <t>es-ES</t>
  </si>
  <si>
    <t>fi-FI</t>
  </si>
  <si>
    <t>fr-CA</t>
  </si>
  <si>
    <t>fr-FR</t>
  </si>
  <si>
    <t>hi-IN</t>
  </si>
  <si>
    <t>hu-HU</t>
  </si>
  <si>
    <t>it-IT</t>
  </si>
  <si>
    <t>ja-JP</t>
  </si>
  <si>
    <t>ko-KR</t>
  </si>
  <si>
    <t>nl-BE</t>
  </si>
  <si>
    <t>nl-NL</t>
  </si>
  <si>
    <t>no-NO</t>
  </si>
  <si>
    <t>pl-PL</t>
  </si>
  <si>
    <t>pt-BR</t>
  </si>
  <si>
    <t>pt-PT</t>
  </si>
  <si>
    <t>ro-RO</t>
  </si>
  <si>
    <t>ru-RU</t>
  </si>
  <si>
    <t>sv-SE</t>
  </si>
  <si>
    <t>tr-TR</t>
  </si>
  <si>
    <t>uk-UA</t>
  </si>
  <si>
    <t>zh-Hans</t>
  </si>
  <si>
    <t>zh-Hant</t>
  </si>
  <si>
    <t>APP_NAME</t>
  </si>
  <si>
    <t>Tile</t>
  </si>
  <si>
    <t>app_name</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</si>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</sst>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b/>
      <sz val="10"/>
      <color indexed="8"/>
      <name val="Arial"/>
      <family val="2"/>
    </font>
    <font>
      <b/>
      <sz val="10"/>
      <name val="Arial"/>
      <family val="2"/>
    </font>
    <font>
      <sz val="11"/>
      <color indexed="8"/>
      <name val="Calibri"/>
      <family val="2"/>
    </font>
    <font>
      <sz val="11"/>
      <name val="Calibri"/>
      <family val="2"/>
    </font>
    <font>
      <sz val="10"/>
      <color indexed="63"/>
      <name val="Arial"/>
      <family val="2"/>
    </font>
    <font>
      <sz val="10"/>
      <name val="Arial"/>
      <family val="2"/>
    </font>
    <font>
      <sz val="11"/>
      <color rgb="FF000000"/>
      <name val="Calibri"/>
      <family val="2"/>
    </font>
    <font>
      <b/>
      <sz val="11"/>
      <color theme="1"/>
      <name val="Calibri"/>
      <family val="2"/>
      <scheme val="minor"/>
    </font>
  </fonts>
  <fills count="4">
    <fill>
      <patternFill patternType="none"/>
    </fill>
    <fill>
      <patternFill patternType="gray125"/>
    </fill>
    <fill>
      <patternFill patternType="solid">
        <fgColor indexed="22"/>
        <bgColor indexed="64"/>
      </patternFill>
    </fill>
    <fill>
      <patternFill patternType="solid">
        <fgColor theme="0" tint="-0.249977111117893"/>
        <bgColor indexed="64"/>
      </patternFill>
    </fill>
  </fills>
  <borders count="2">
    <border>
      <left/>
      <right/>
      <top/>
      <bottom/>
      <diagonal/>
    </border>
    <border>
      <left style="thin">
        <color indexed="8"/>
      </left>
      <right style="thin">
        <color indexed="8"/>
      </right>
      <top style="thin">
        <color indexed="8"/>
      </top>
      <bottom style="thin">
        <color indexed="8"/>
      </bottom>
      <diagonal/>
    </border>
  </borders>
  <cellStyleXfs count="2">
    <xf numFmtId="0" fontId="0" fillId="0" borderId="0"/>
    <xf numFmtId="0" fontId="3" fillId="0" borderId="0"/>
  </cellStyleXfs>
  <cellXfs count="28">
    <xf numFmtId="0" fontId="0" fillId="0" borderId="0" xfId="0"/>
    <xf numFmtId="0" fontId="0" fillId="0" borderId="1" xfId="0" applyBorder="1"/>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wrapText="1"/>
    </xf>
    <xf numFmtId="0" fontId="2" fillId="3" borderId="1" xfId="0" applyFont="1" applyFill="1" applyBorder="1"/>
    <xf numFmtId="0" fontId="2" fillId="3" borderId="1" xfId="0" applyFont="1" applyFill="1" applyBorder="1" applyAlignment="1">
      <alignment horizontal="center"/>
    </xf>
    <xf numFmtId="0" fontId="0" fillId="0" borderId="1" xfId="0" applyFont="1" applyFill="1" applyBorder="1" applyAlignment="1" applyProtection="1"/>
    <xf numFmtId="0" fontId="0" fillId="0" borderId="1" xfId="0" applyFont="1" applyFill="1" applyBorder="1" applyAlignment="1" applyProtection="1">
      <alignment wrapText="1"/>
    </xf>
    <xf numFmtId="0" fontId="0" fillId="0" borderId="1" xfId="0" applyFont="1" applyFill="1" applyBorder="1" applyAlignment="1" applyProtection="1">
      <alignment horizontal="center" vertical="center"/>
    </xf>
    <xf numFmtId="0" fontId="0" fillId="0" borderId="0" xfId="0" applyAlignment="1">
      <alignment wrapText="1"/>
    </xf>
    <xf numFmtId="0" fontId="4" fillId="0" borderId="1" xfId="1" applyFont="1" applyFill="1" applyBorder="1" applyAlignment="1" applyProtection="1">
      <alignment vertical="center" wrapText="1"/>
      <protection locked="0"/>
    </xf>
    <xf numFmtId="0" fontId="6" fillId="0" borderId="1" xfId="0" applyFont="1" applyFill="1" applyBorder="1" applyAlignment="1" applyProtection="1">
      <alignment horizontal="left" vertical="center" wrapText="1"/>
      <protection locked="0"/>
    </xf>
    <xf numFmtId="0" fontId="0" fillId="0" borderId="1" xfId="0" applyFont="1" applyFill="1" applyBorder="1" applyAlignment="1" applyProtection="1">
      <alignment horizontal="left" vertical="center" wrapText="1"/>
      <protection locked="0"/>
    </xf>
    <xf numFmtId="0" fontId="2" fillId="3" borderId="1" xfId="0" applyFont="1" applyFill="1" applyBorder="1" applyProtection="1">
      <protection hidden="1"/>
    </xf>
    <xf numFmtId="0" fontId="0" fillId="0" borderId="1" xfId="0" applyBorder="1" applyProtection="1">
      <protection hidden="1"/>
    </xf>
    <xf numFmtId="0" fontId="8" fillId="0" borderId="1" xfId="0" applyFont="1" applyFill="1" applyBorder="1" applyAlignment="1" applyProtection="1">
      <alignment horizontal="center" vertical="center"/>
    </xf>
    <xf numFmtId="0" fontId="0" fillId="0" borderId="1" xfId="0" applyFont="1" applyFill="1" applyBorder="1" applyAlignment="1" applyProtection="1">
      <alignment vertical="center" wrapText="1"/>
      <protection locked="0"/>
    </xf>
    <xf numFmtId="0" fontId="1" fillId="2" borderId="1"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protection locked="0"/>
    </xf>
    <xf numFmtId="0" fontId="4" fillId="0" borderId="1" xfId="1" applyFont="1" applyFill="1" applyBorder="1" applyAlignment="1" applyProtection="1">
      <alignment horizontal="center" vertical="center" wrapText="1"/>
      <protection locked="0"/>
    </xf>
    <xf numFmtId="0" fontId="5" fillId="0" borderId="1" xfId="0" applyFont="1" applyFill="1" applyBorder="1" applyAlignment="1" applyProtection="1">
      <alignment wrapText="1"/>
      <protection locked="0"/>
    </xf>
    <xf numFmtId="0" fontId="0" fillId="0" borderId="1" xfId="0" applyFont="1" applyFill="1" applyBorder="1" applyAlignment="1" applyProtection="1">
      <protection locked="0"/>
    </xf>
    <xf numFmtId="0" fontId="0" fillId="0" borderId="1" xfId="0" applyFont="1" applyFill="1" applyBorder="1" applyAlignment="1" applyProtection="1">
      <alignment wrapText="1"/>
      <protection locked="0"/>
    </xf>
    <xf numFmtId="0" fontId="0" fillId="0" borderId="1" xfId="0" applyFont="1" applyFill="1" applyBorder="1" applyAlignment="1" applyProtection="1">
      <alignment horizontal="center" vertical="center" wrapText="1"/>
      <protection locked="0"/>
    </xf>
    <xf numFmtId="0" fontId="6" fillId="0" borderId="1" xfId="0" applyFont="1" applyFill="1" applyBorder="1" applyAlignment="1" applyProtection="1">
      <alignment wrapText="1"/>
      <protection locked="0"/>
    </xf>
    <xf numFmtId="0" fontId="0" fillId="0" borderId="1" xfId="0" applyFont="1" applyFill="1" applyBorder="1" applyAlignment="1" applyProtection="1">
      <alignment horizontal="center" vertical="center"/>
      <protection locked="0"/>
    </xf>
    <xf numFmtId="0" fontId="0" fillId="0" borderId="1" xfId="0" applyBorder="1" applyProtection="1">
      <protection locked="0"/>
    </xf>
    <xf numFmtId="0" fontId="0" fillId="0" borderId="1" xfId="0" applyBorder="1" applyAlignment="1" applyProtection="1">
      <alignment horizontal="center"/>
      <protection locked="0"/>
    </xf>
  </cellXfs>
  <cellStyles count="2">
    <cellStyle name="Normal" xfId="0" builtinId="0"/>
    <cellStyle name="Normal 4"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209550</xdr:colOff>
          <xdr:row>4</xdr:row>
          <xdr:rowOff>38100</xdr:rowOff>
        </xdr:from>
        <xdr:to>
          <xdr:col>14</xdr:col>
          <xdr:colOff>2295525</xdr:colOff>
          <xdr:row>5</xdr:row>
          <xdr:rowOff>504825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Make HTML for checking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247650</xdr:colOff>
          <xdr:row>6</xdr:row>
          <xdr:rowOff>180975</xdr:rowOff>
        </xdr:from>
        <xdr:to>
          <xdr:col>14</xdr:col>
          <xdr:colOff>2305050</xdr:colOff>
          <xdr:row>7</xdr:row>
          <xdr:rowOff>133350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Make JSON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502"/>
  <sheetViews>
    <sheetView tabSelected="1" topLeftCell="G1" zoomScale="85" zoomScaleNormal="85" workbookViewId="0">
      <selection activeCell="L6" sqref="L6"/>
    </sheetView>
  </sheetViews>
  <sheetFormatPr defaultRowHeight="15" x14ac:dyDescent="0.25"/>
  <cols>
    <col min="1" max="1" width="28.28515625" style="8" customWidth="1"/>
    <col min="2" max="2" width="21.85546875" style="6" customWidth="1"/>
    <col min="3" max="3" width="39" style="6" customWidth="1"/>
    <col min="4" max="4" width="9" style="6" hidden="1" customWidth="1"/>
    <col min="5" max="5" width="50.28515625" style="7" customWidth="1"/>
    <col min="6" max="6" width="54.85546875" style="16" customWidth="1"/>
    <col min="7" max="7" width="52.28515625" style="16" customWidth="1"/>
    <col min="8" max="8" width="5.5703125" style="14" hidden="1" customWidth="1"/>
    <col min="9" max="13" width="9.140625" style="1"/>
    <col min="14" max="14" width="35" style="1" customWidth="1"/>
    <col min="15" max="15" width="88" style="1" customWidth="1"/>
    <col min="16" max="256" width="9.140625" style="1"/>
    <col min="257" max="257" width="42.85546875" style="1" customWidth="1"/>
    <col min="258" max="258" width="21.85546875" style="1" customWidth="1"/>
    <col min="259" max="259" width="39" style="1" customWidth="1"/>
    <col min="260" max="260" width="0" style="1" hidden="1" customWidth="1"/>
    <col min="261" max="261" width="90.28515625" style="1" customWidth="1"/>
    <col min="262" max="263" width="64.5703125" style="1" customWidth="1"/>
    <col min="264" max="269" width="9.140625" style="1"/>
    <col min="270" max="270" width="35" style="1" customWidth="1"/>
    <col min="271" max="512" width="9.140625" style="1"/>
    <col min="513" max="513" width="42.85546875" style="1" customWidth="1"/>
    <col min="514" max="514" width="21.85546875" style="1" customWidth="1"/>
    <col min="515" max="515" width="39" style="1" customWidth="1"/>
    <col min="516" max="516" width="0" style="1" hidden="1" customWidth="1"/>
    <col min="517" max="517" width="90.28515625" style="1" customWidth="1"/>
    <col min="518" max="519" width="64.5703125" style="1" customWidth="1"/>
    <col min="520" max="525" width="9.140625" style="1"/>
    <col min="526" max="526" width="35" style="1" customWidth="1"/>
    <col min="527" max="768" width="9.140625" style="1"/>
    <col min="769" max="769" width="42.85546875" style="1" customWidth="1"/>
    <col min="770" max="770" width="21.85546875" style="1" customWidth="1"/>
    <col min="771" max="771" width="39" style="1" customWidth="1"/>
    <col min="772" max="772" width="0" style="1" hidden="1" customWidth="1"/>
    <col min="773" max="773" width="90.28515625" style="1" customWidth="1"/>
    <col min="774" max="775" width="64.5703125" style="1" customWidth="1"/>
    <col min="776" max="781" width="9.140625" style="1"/>
    <col min="782" max="782" width="35" style="1" customWidth="1"/>
    <col min="783" max="1024" width="9.140625" style="1"/>
    <col min="1025" max="1025" width="42.85546875" style="1" customWidth="1"/>
    <col min="1026" max="1026" width="21.85546875" style="1" customWidth="1"/>
    <col min="1027" max="1027" width="39" style="1" customWidth="1"/>
    <col min="1028" max="1028" width="0" style="1" hidden="1" customWidth="1"/>
    <col min="1029" max="1029" width="90.28515625" style="1" customWidth="1"/>
    <col min="1030" max="1031" width="64.5703125" style="1" customWidth="1"/>
    <col min="1032" max="1037" width="9.140625" style="1"/>
    <col min="1038" max="1038" width="35" style="1" customWidth="1"/>
    <col min="1039" max="1280" width="9.140625" style="1"/>
    <col min="1281" max="1281" width="42.85546875" style="1" customWidth="1"/>
    <col min="1282" max="1282" width="21.85546875" style="1" customWidth="1"/>
    <col min="1283" max="1283" width="39" style="1" customWidth="1"/>
    <col min="1284" max="1284" width="0" style="1" hidden="1" customWidth="1"/>
    <col min="1285" max="1285" width="90.28515625" style="1" customWidth="1"/>
    <col min="1286" max="1287" width="64.5703125" style="1" customWidth="1"/>
    <col min="1288" max="1293" width="9.140625" style="1"/>
    <col min="1294" max="1294" width="35" style="1" customWidth="1"/>
    <col min="1295" max="1536" width="9.140625" style="1"/>
    <col min="1537" max="1537" width="42.85546875" style="1" customWidth="1"/>
    <col min="1538" max="1538" width="21.85546875" style="1" customWidth="1"/>
    <col min="1539" max="1539" width="39" style="1" customWidth="1"/>
    <col min="1540" max="1540" width="0" style="1" hidden="1" customWidth="1"/>
    <col min="1541" max="1541" width="90.28515625" style="1" customWidth="1"/>
    <col min="1542" max="1543" width="64.5703125" style="1" customWidth="1"/>
    <col min="1544" max="1549" width="9.140625" style="1"/>
    <col min="1550" max="1550" width="35" style="1" customWidth="1"/>
    <col min="1551" max="1792" width="9.140625" style="1"/>
    <col min="1793" max="1793" width="42.85546875" style="1" customWidth="1"/>
    <col min="1794" max="1794" width="21.85546875" style="1" customWidth="1"/>
    <col min="1795" max="1795" width="39" style="1" customWidth="1"/>
    <col min="1796" max="1796" width="0" style="1" hidden="1" customWidth="1"/>
    <col min="1797" max="1797" width="90.28515625" style="1" customWidth="1"/>
    <col min="1798" max="1799" width="64.5703125" style="1" customWidth="1"/>
    <col min="1800" max="1805" width="9.140625" style="1"/>
    <col min="1806" max="1806" width="35" style="1" customWidth="1"/>
    <col min="1807" max="2048" width="9.140625" style="1"/>
    <col min="2049" max="2049" width="42.85546875" style="1" customWidth="1"/>
    <col min="2050" max="2050" width="21.85546875" style="1" customWidth="1"/>
    <col min="2051" max="2051" width="39" style="1" customWidth="1"/>
    <col min="2052" max="2052" width="0" style="1" hidden="1" customWidth="1"/>
    <col min="2053" max="2053" width="90.28515625" style="1" customWidth="1"/>
    <col min="2054" max="2055" width="64.5703125" style="1" customWidth="1"/>
    <col min="2056" max="2061" width="9.140625" style="1"/>
    <col min="2062" max="2062" width="35" style="1" customWidth="1"/>
    <col min="2063" max="2304" width="9.140625" style="1"/>
    <col min="2305" max="2305" width="42.85546875" style="1" customWidth="1"/>
    <col min="2306" max="2306" width="21.85546875" style="1" customWidth="1"/>
    <col min="2307" max="2307" width="39" style="1" customWidth="1"/>
    <col min="2308" max="2308" width="0" style="1" hidden="1" customWidth="1"/>
    <col min="2309" max="2309" width="90.28515625" style="1" customWidth="1"/>
    <col min="2310" max="2311" width="64.5703125" style="1" customWidth="1"/>
    <col min="2312" max="2317" width="9.140625" style="1"/>
    <col min="2318" max="2318" width="35" style="1" customWidth="1"/>
    <col min="2319" max="2560" width="9.140625" style="1"/>
    <col min="2561" max="2561" width="42.85546875" style="1" customWidth="1"/>
    <col min="2562" max="2562" width="21.85546875" style="1" customWidth="1"/>
    <col min="2563" max="2563" width="39" style="1" customWidth="1"/>
    <col min="2564" max="2564" width="0" style="1" hidden="1" customWidth="1"/>
    <col min="2565" max="2565" width="90.28515625" style="1" customWidth="1"/>
    <col min="2566" max="2567" width="64.5703125" style="1" customWidth="1"/>
    <col min="2568" max="2573" width="9.140625" style="1"/>
    <col min="2574" max="2574" width="35" style="1" customWidth="1"/>
    <col min="2575" max="2816" width="9.140625" style="1"/>
    <col min="2817" max="2817" width="42.85546875" style="1" customWidth="1"/>
    <col min="2818" max="2818" width="21.85546875" style="1" customWidth="1"/>
    <col min="2819" max="2819" width="39" style="1" customWidth="1"/>
    <col min="2820" max="2820" width="0" style="1" hidden="1" customWidth="1"/>
    <col min="2821" max="2821" width="90.28515625" style="1" customWidth="1"/>
    <col min="2822" max="2823" width="64.5703125" style="1" customWidth="1"/>
    <col min="2824" max="2829" width="9.140625" style="1"/>
    <col min="2830" max="2830" width="35" style="1" customWidth="1"/>
    <col min="2831" max="3072" width="9.140625" style="1"/>
    <col min="3073" max="3073" width="42.85546875" style="1" customWidth="1"/>
    <col min="3074" max="3074" width="21.85546875" style="1" customWidth="1"/>
    <col min="3075" max="3075" width="39" style="1" customWidth="1"/>
    <col min="3076" max="3076" width="0" style="1" hidden="1" customWidth="1"/>
    <col min="3077" max="3077" width="90.28515625" style="1" customWidth="1"/>
    <col min="3078" max="3079" width="64.5703125" style="1" customWidth="1"/>
    <col min="3080" max="3085" width="9.140625" style="1"/>
    <col min="3086" max="3086" width="35" style="1" customWidth="1"/>
    <col min="3087" max="3328" width="9.140625" style="1"/>
    <col min="3329" max="3329" width="42.85546875" style="1" customWidth="1"/>
    <col min="3330" max="3330" width="21.85546875" style="1" customWidth="1"/>
    <col min="3331" max="3331" width="39" style="1" customWidth="1"/>
    <col min="3332" max="3332" width="0" style="1" hidden="1" customWidth="1"/>
    <col min="3333" max="3333" width="90.28515625" style="1" customWidth="1"/>
    <col min="3334" max="3335" width="64.5703125" style="1" customWidth="1"/>
    <col min="3336" max="3341" width="9.140625" style="1"/>
    <col min="3342" max="3342" width="35" style="1" customWidth="1"/>
    <col min="3343" max="3584" width="9.140625" style="1"/>
    <col min="3585" max="3585" width="42.85546875" style="1" customWidth="1"/>
    <col min="3586" max="3586" width="21.85546875" style="1" customWidth="1"/>
    <col min="3587" max="3587" width="39" style="1" customWidth="1"/>
    <col min="3588" max="3588" width="0" style="1" hidden="1" customWidth="1"/>
    <col min="3589" max="3589" width="90.28515625" style="1" customWidth="1"/>
    <col min="3590" max="3591" width="64.5703125" style="1" customWidth="1"/>
    <col min="3592" max="3597" width="9.140625" style="1"/>
    <col min="3598" max="3598" width="35" style="1" customWidth="1"/>
    <col min="3599" max="3840" width="9.140625" style="1"/>
    <col min="3841" max="3841" width="42.85546875" style="1" customWidth="1"/>
    <col min="3842" max="3842" width="21.85546875" style="1" customWidth="1"/>
    <col min="3843" max="3843" width="39" style="1" customWidth="1"/>
    <col min="3844" max="3844" width="0" style="1" hidden="1" customWidth="1"/>
    <col min="3845" max="3845" width="90.28515625" style="1" customWidth="1"/>
    <col min="3846" max="3847" width="64.5703125" style="1" customWidth="1"/>
    <col min="3848" max="3853" width="9.140625" style="1"/>
    <col min="3854" max="3854" width="35" style="1" customWidth="1"/>
    <col min="3855" max="4096" width="9.140625" style="1"/>
    <col min="4097" max="4097" width="42.85546875" style="1" customWidth="1"/>
    <col min="4098" max="4098" width="21.85546875" style="1" customWidth="1"/>
    <col min="4099" max="4099" width="39" style="1" customWidth="1"/>
    <col min="4100" max="4100" width="0" style="1" hidden="1" customWidth="1"/>
    <col min="4101" max="4101" width="90.28515625" style="1" customWidth="1"/>
    <col min="4102" max="4103" width="64.5703125" style="1" customWidth="1"/>
    <col min="4104" max="4109" width="9.140625" style="1"/>
    <col min="4110" max="4110" width="35" style="1" customWidth="1"/>
    <col min="4111" max="4352" width="9.140625" style="1"/>
    <col min="4353" max="4353" width="42.85546875" style="1" customWidth="1"/>
    <col min="4354" max="4354" width="21.85546875" style="1" customWidth="1"/>
    <col min="4355" max="4355" width="39" style="1" customWidth="1"/>
    <col min="4356" max="4356" width="0" style="1" hidden="1" customWidth="1"/>
    <col min="4357" max="4357" width="90.28515625" style="1" customWidth="1"/>
    <col min="4358" max="4359" width="64.5703125" style="1" customWidth="1"/>
    <col min="4360" max="4365" width="9.140625" style="1"/>
    <col min="4366" max="4366" width="35" style="1" customWidth="1"/>
    <col min="4367" max="4608" width="9.140625" style="1"/>
    <col min="4609" max="4609" width="42.85546875" style="1" customWidth="1"/>
    <col min="4610" max="4610" width="21.85546875" style="1" customWidth="1"/>
    <col min="4611" max="4611" width="39" style="1" customWidth="1"/>
    <col min="4612" max="4612" width="0" style="1" hidden="1" customWidth="1"/>
    <col min="4613" max="4613" width="90.28515625" style="1" customWidth="1"/>
    <col min="4614" max="4615" width="64.5703125" style="1" customWidth="1"/>
    <col min="4616" max="4621" width="9.140625" style="1"/>
    <col min="4622" max="4622" width="35" style="1" customWidth="1"/>
    <col min="4623" max="4864" width="9.140625" style="1"/>
    <col min="4865" max="4865" width="42.85546875" style="1" customWidth="1"/>
    <col min="4866" max="4866" width="21.85546875" style="1" customWidth="1"/>
    <col min="4867" max="4867" width="39" style="1" customWidth="1"/>
    <col min="4868" max="4868" width="0" style="1" hidden="1" customWidth="1"/>
    <col min="4869" max="4869" width="90.28515625" style="1" customWidth="1"/>
    <col min="4870" max="4871" width="64.5703125" style="1" customWidth="1"/>
    <col min="4872" max="4877" width="9.140625" style="1"/>
    <col min="4878" max="4878" width="35" style="1" customWidth="1"/>
    <col min="4879" max="5120" width="9.140625" style="1"/>
    <col min="5121" max="5121" width="42.85546875" style="1" customWidth="1"/>
    <col min="5122" max="5122" width="21.85546875" style="1" customWidth="1"/>
    <col min="5123" max="5123" width="39" style="1" customWidth="1"/>
    <col min="5124" max="5124" width="0" style="1" hidden="1" customWidth="1"/>
    <col min="5125" max="5125" width="90.28515625" style="1" customWidth="1"/>
    <col min="5126" max="5127" width="64.5703125" style="1" customWidth="1"/>
    <col min="5128" max="5133" width="9.140625" style="1"/>
    <col min="5134" max="5134" width="35" style="1" customWidth="1"/>
    <col min="5135" max="5376" width="9.140625" style="1"/>
    <col min="5377" max="5377" width="42.85546875" style="1" customWidth="1"/>
    <col min="5378" max="5378" width="21.85546875" style="1" customWidth="1"/>
    <col min="5379" max="5379" width="39" style="1" customWidth="1"/>
    <col min="5380" max="5380" width="0" style="1" hidden="1" customWidth="1"/>
    <col min="5381" max="5381" width="90.28515625" style="1" customWidth="1"/>
    <col min="5382" max="5383" width="64.5703125" style="1" customWidth="1"/>
    <col min="5384" max="5389" width="9.140625" style="1"/>
    <col min="5390" max="5390" width="35" style="1" customWidth="1"/>
    <col min="5391" max="5632" width="9.140625" style="1"/>
    <col min="5633" max="5633" width="42.85546875" style="1" customWidth="1"/>
    <col min="5634" max="5634" width="21.85546875" style="1" customWidth="1"/>
    <col min="5635" max="5635" width="39" style="1" customWidth="1"/>
    <col min="5636" max="5636" width="0" style="1" hidden="1" customWidth="1"/>
    <col min="5637" max="5637" width="90.28515625" style="1" customWidth="1"/>
    <col min="5638" max="5639" width="64.5703125" style="1" customWidth="1"/>
    <col min="5640" max="5645" width="9.140625" style="1"/>
    <col min="5646" max="5646" width="35" style="1" customWidth="1"/>
    <col min="5647" max="5888" width="9.140625" style="1"/>
    <col min="5889" max="5889" width="42.85546875" style="1" customWidth="1"/>
    <col min="5890" max="5890" width="21.85546875" style="1" customWidth="1"/>
    <col min="5891" max="5891" width="39" style="1" customWidth="1"/>
    <col min="5892" max="5892" width="0" style="1" hidden="1" customWidth="1"/>
    <col min="5893" max="5893" width="90.28515625" style="1" customWidth="1"/>
    <col min="5894" max="5895" width="64.5703125" style="1" customWidth="1"/>
    <col min="5896" max="5901" width="9.140625" style="1"/>
    <col min="5902" max="5902" width="35" style="1" customWidth="1"/>
    <col min="5903" max="6144" width="9.140625" style="1"/>
    <col min="6145" max="6145" width="42.85546875" style="1" customWidth="1"/>
    <col min="6146" max="6146" width="21.85546875" style="1" customWidth="1"/>
    <col min="6147" max="6147" width="39" style="1" customWidth="1"/>
    <col min="6148" max="6148" width="0" style="1" hidden="1" customWidth="1"/>
    <col min="6149" max="6149" width="90.28515625" style="1" customWidth="1"/>
    <col min="6150" max="6151" width="64.5703125" style="1" customWidth="1"/>
    <col min="6152" max="6157" width="9.140625" style="1"/>
    <col min="6158" max="6158" width="35" style="1" customWidth="1"/>
    <col min="6159" max="6400" width="9.140625" style="1"/>
    <col min="6401" max="6401" width="42.85546875" style="1" customWidth="1"/>
    <col min="6402" max="6402" width="21.85546875" style="1" customWidth="1"/>
    <col min="6403" max="6403" width="39" style="1" customWidth="1"/>
    <col min="6404" max="6404" width="0" style="1" hidden="1" customWidth="1"/>
    <col min="6405" max="6405" width="90.28515625" style="1" customWidth="1"/>
    <col min="6406" max="6407" width="64.5703125" style="1" customWidth="1"/>
    <col min="6408" max="6413" width="9.140625" style="1"/>
    <col min="6414" max="6414" width="35" style="1" customWidth="1"/>
    <col min="6415" max="6656" width="9.140625" style="1"/>
    <col min="6657" max="6657" width="42.85546875" style="1" customWidth="1"/>
    <col min="6658" max="6658" width="21.85546875" style="1" customWidth="1"/>
    <col min="6659" max="6659" width="39" style="1" customWidth="1"/>
    <col min="6660" max="6660" width="0" style="1" hidden="1" customWidth="1"/>
    <col min="6661" max="6661" width="90.28515625" style="1" customWidth="1"/>
    <col min="6662" max="6663" width="64.5703125" style="1" customWidth="1"/>
    <col min="6664" max="6669" width="9.140625" style="1"/>
    <col min="6670" max="6670" width="35" style="1" customWidth="1"/>
    <col min="6671" max="6912" width="9.140625" style="1"/>
    <col min="6913" max="6913" width="42.85546875" style="1" customWidth="1"/>
    <col min="6914" max="6914" width="21.85546875" style="1" customWidth="1"/>
    <col min="6915" max="6915" width="39" style="1" customWidth="1"/>
    <col min="6916" max="6916" width="0" style="1" hidden="1" customWidth="1"/>
    <col min="6917" max="6917" width="90.28515625" style="1" customWidth="1"/>
    <col min="6918" max="6919" width="64.5703125" style="1" customWidth="1"/>
    <col min="6920" max="6925" width="9.140625" style="1"/>
    <col min="6926" max="6926" width="35" style="1" customWidth="1"/>
    <col min="6927" max="7168" width="9.140625" style="1"/>
    <col min="7169" max="7169" width="42.85546875" style="1" customWidth="1"/>
    <col min="7170" max="7170" width="21.85546875" style="1" customWidth="1"/>
    <col min="7171" max="7171" width="39" style="1" customWidth="1"/>
    <col min="7172" max="7172" width="0" style="1" hidden="1" customWidth="1"/>
    <col min="7173" max="7173" width="90.28515625" style="1" customWidth="1"/>
    <col min="7174" max="7175" width="64.5703125" style="1" customWidth="1"/>
    <col min="7176" max="7181" width="9.140625" style="1"/>
    <col min="7182" max="7182" width="35" style="1" customWidth="1"/>
    <col min="7183" max="7424" width="9.140625" style="1"/>
    <col min="7425" max="7425" width="42.85546875" style="1" customWidth="1"/>
    <col min="7426" max="7426" width="21.85546875" style="1" customWidth="1"/>
    <col min="7427" max="7427" width="39" style="1" customWidth="1"/>
    <col min="7428" max="7428" width="0" style="1" hidden="1" customWidth="1"/>
    <col min="7429" max="7429" width="90.28515625" style="1" customWidth="1"/>
    <col min="7430" max="7431" width="64.5703125" style="1" customWidth="1"/>
    <col min="7432" max="7437" width="9.140625" style="1"/>
    <col min="7438" max="7438" width="35" style="1" customWidth="1"/>
    <col min="7439" max="7680" width="9.140625" style="1"/>
    <col min="7681" max="7681" width="42.85546875" style="1" customWidth="1"/>
    <col min="7682" max="7682" width="21.85546875" style="1" customWidth="1"/>
    <col min="7683" max="7683" width="39" style="1" customWidth="1"/>
    <col min="7684" max="7684" width="0" style="1" hidden="1" customWidth="1"/>
    <col min="7685" max="7685" width="90.28515625" style="1" customWidth="1"/>
    <col min="7686" max="7687" width="64.5703125" style="1" customWidth="1"/>
    <col min="7688" max="7693" width="9.140625" style="1"/>
    <col min="7694" max="7694" width="35" style="1" customWidth="1"/>
    <col min="7695" max="7936" width="9.140625" style="1"/>
    <col min="7937" max="7937" width="42.85546875" style="1" customWidth="1"/>
    <col min="7938" max="7938" width="21.85546875" style="1" customWidth="1"/>
    <col min="7939" max="7939" width="39" style="1" customWidth="1"/>
    <col min="7940" max="7940" width="0" style="1" hidden="1" customWidth="1"/>
    <col min="7941" max="7941" width="90.28515625" style="1" customWidth="1"/>
    <col min="7942" max="7943" width="64.5703125" style="1" customWidth="1"/>
    <col min="7944" max="7949" width="9.140625" style="1"/>
    <col min="7950" max="7950" width="35" style="1" customWidth="1"/>
    <col min="7951" max="8192" width="9.140625" style="1"/>
    <col min="8193" max="8193" width="42.85546875" style="1" customWidth="1"/>
    <col min="8194" max="8194" width="21.85546875" style="1" customWidth="1"/>
    <col min="8195" max="8195" width="39" style="1" customWidth="1"/>
    <col min="8196" max="8196" width="0" style="1" hidden="1" customWidth="1"/>
    <col min="8197" max="8197" width="90.28515625" style="1" customWidth="1"/>
    <col min="8198" max="8199" width="64.5703125" style="1" customWidth="1"/>
    <col min="8200" max="8205" width="9.140625" style="1"/>
    <col min="8206" max="8206" width="35" style="1" customWidth="1"/>
    <col min="8207" max="8448" width="9.140625" style="1"/>
    <col min="8449" max="8449" width="42.85546875" style="1" customWidth="1"/>
    <col min="8450" max="8450" width="21.85546875" style="1" customWidth="1"/>
    <col min="8451" max="8451" width="39" style="1" customWidth="1"/>
    <col min="8452" max="8452" width="0" style="1" hidden="1" customWidth="1"/>
    <col min="8453" max="8453" width="90.28515625" style="1" customWidth="1"/>
    <col min="8454" max="8455" width="64.5703125" style="1" customWidth="1"/>
    <col min="8456" max="8461" width="9.140625" style="1"/>
    <col min="8462" max="8462" width="35" style="1" customWidth="1"/>
    <col min="8463" max="8704" width="9.140625" style="1"/>
    <col min="8705" max="8705" width="42.85546875" style="1" customWidth="1"/>
    <col min="8706" max="8706" width="21.85546875" style="1" customWidth="1"/>
    <col min="8707" max="8707" width="39" style="1" customWidth="1"/>
    <col min="8708" max="8708" width="0" style="1" hidden="1" customWidth="1"/>
    <col min="8709" max="8709" width="90.28515625" style="1" customWidth="1"/>
    <col min="8710" max="8711" width="64.5703125" style="1" customWidth="1"/>
    <col min="8712" max="8717" width="9.140625" style="1"/>
    <col min="8718" max="8718" width="35" style="1" customWidth="1"/>
    <col min="8719" max="8960" width="9.140625" style="1"/>
    <col min="8961" max="8961" width="42.85546875" style="1" customWidth="1"/>
    <col min="8962" max="8962" width="21.85546875" style="1" customWidth="1"/>
    <col min="8963" max="8963" width="39" style="1" customWidth="1"/>
    <col min="8964" max="8964" width="0" style="1" hidden="1" customWidth="1"/>
    <col min="8965" max="8965" width="90.28515625" style="1" customWidth="1"/>
    <col min="8966" max="8967" width="64.5703125" style="1" customWidth="1"/>
    <col min="8968" max="8973" width="9.140625" style="1"/>
    <col min="8974" max="8974" width="35" style="1" customWidth="1"/>
    <col min="8975" max="9216" width="9.140625" style="1"/>
    <col min="9217" max="9217" width="42.85546875" style="1" customWidth="1"/>
    <col min="9218" max="9218" width="21.85546875" style="1" customWidth="1"/>
    <col min="9219" max="9219" width="39" style="1" customWidth="1"/>
    <col min="9220" max="9220" width="0" style="1" hidden="1" customWidth="1"/>
    <col min="9221" max="9221" width="90.28515625" style="1" customWidth="1"/>
    <col min="9222" max="9223" width="64.5703125" style="1" customWidth="1"/>
    <col min="9224" max="9229" width="9.140625" style="1"/>
    <col min="9230" max="9230" width="35" style="1" customWidth="1"/>
    <col min="9231" max="9472" width="9.140625" style="1"/>
    <col min="9473" max="9473" width="42.85546875" style="1" customWidth="1"/>
    <col min="9474" max="9474" width="21.85546875" style="1" customWidth="1"/>
    <col min="9475" max="9475" width="39" style="1" customWidth="1"/>
    <col min="9476" max="9476" width="0" style="1" hidden="1" customWidth="1"/>
    <col min="9477" max="9477" width="90.28515625" style="1" customWidth="1"/>
    <col min="9478" max="9479" width="64.5703125" style="1" customWidth="1"/>
    <col min="9480" max="9485" width="9.140625" style="1"/>
    <col min="9486" max="9486" width="35" style="1" customWidth="1"/>
    <col min="9487" max="9728" width="9.140625" style="1"/>
    <col min="9729" max="9729" width="42.85546875" style="1" customWidth="1"/>
    <col min="9730" max="9730" width="21.85546875" style="1" customWidth="1"/>
    <col min="9731" max="9731" width="39" style="1" customWidth="1"/>
    <col min="9732" max="9732" width="0" style="1" hidden="1" customWidth="1"/>
    <col min="9733" max="9733" width="90.28515625" style="1" customWidth="1"/>
    <col min="9734" max="9735" width="64.5703125" style="1" customWidth="1"/>
    <col min="9736" max="9741" width="9.140625" style="1"/>
    <col min="9742" max="9742" width="35" style="1" customWidth="1"/>
    <col min="9743" max="9984" width="9.140625" style="1"/>
    <col min="9985" max="9985" width="42.85546875" style="1" customWidth="1"/>
    <col min="9986" max="9986" width="21.85546875" style="1" customWidth="1"/>
    <col min="9987" max="9987" width="39" style="1" customWidth="1"/>
    <col min="9988" max="9988" width="0" style="1" hidden="1" customWidth="1"/>
    <col min="9989" max="9989" width="90.28515625" style="1" customWidth="1"/>
    <col min="9990" max="9991" width="64.5703125" style="1" customWidth="1"/>
    <col min="9992" max="9997" width="9.140625" style="1"/>
    <col min="9998" max="9998" width="35" style="1" customWidth="1"/>
    <col min="9999" max="10240" width="9.140625" style="1"/>
    <col min="10241" max="10241" width="42.85546875" style="1" customWidth="1"/>
    <col min="10242" max="10242" width="21.85546875" style="1" customWidth="1"/>
    <col min="10243" max="10243" width="39" style="1" customWidth="1"/>
    <col min="10244" max="10244" width="0" style="1" hidden="1" customWidth="1"/>
    <col min="10245" max="10245" width="90.28515625" style="1" customWidth="1"/>
    <col min="10246" max="10247" width="64.5703125" style="1" customWidth="1"/>
    <col min="10248" max="10253" width="9.140625" style="1"/>
    <col min="10254" max="10254" width="35" style="1" customWidth="1"/>
    <col min="10255" max="10496" width="9.140625" style="1"/>
    <col min="10497" max="10497" width="42.85546875" style="1" customWidth="1"/>
    <col min="10498" max="10498" width="21.85546875" style="1" customWidth="1"/>
    <col min="10499" max="10499" width="39" style="1" customWidth="1"/>
    <col min="10500" max="10500" width="0" style="1" hidden="1" customWidth="1"/>
    <col min="10501" max="10501" width="90.28515625" style="1" customWidth="1"/>
    <col min="10502" max="10503" width="64.5703125" style="1" customWidth="1"/>
    <col min="10504" max="10509" width="9.140625" style="1"/>
    <col min="10510" max="10510" width="35" style="1" customWidth="1"/>
    <col min="10511" max="10752" width="9.140625" style="1"/>
    <col min="10753" max="10753" width="42.85546875" style="1" customWidth="1"/>
    <col min="10754" max="10754" width="21.85546875" style="1" customWidth="1"/>
    <col min="10755" max="10755" width="39" style="1" customWidth="1"/>
    <col min="10756" max="10756" width="0" style="1" hidden="1" customWidth="1"/>
    <col min="10757" max="10757" width="90.28515625" style="1" customWidth="1"/>
    <col min="10758" max="10759" width="64.5703125" style="1" customWidth="1"/>
    <col min="10760" max="10765" width="9.140625" style="1"/>
    <col min="10766" max="10766" width="35" style="1" customWidth="1"/>
    <col min="10767" max="11008" width="9.140625" style="1"/>
    <col min="11009" max="11009" width="42.85546875" style="1" customWidth="1"/>
    <col min="11010" max="11010" width="21.85546875" style="1" customWidth="1"/>
    <col min="11011" max="11011" width="39" style="1" customWidth="1"/>
    <col min="11012" max="11012" width="0" style="1" hidden="1" customWidth="1"/>
    <col min="11013" max="11013" width="90.28515625" style="1" customWidth="1"/>
    <col min="11014" max="11015" width="64.5703125" style="1" customWidth="1"/>
    <col min="11016" max="11021" width="9.140625" style="1"/>
    <col min="11022" max="11022" width="35" style="1" customWidth="1"/>
    <col min="11023" max="11264" width="9.140625" style="1"/>
    <col min="11265" max="11265" width="42.85546875" style="1" customWidth="1"/>
    <col min="11266" max="11266" width="21.85546875" style="1" customWidth="1"/>
    <col min="11267" max="11267" width="39" style="1" customWidth="1"/>
    <col min="11268" max="11268" width="0" style="1" hidden="1" customWidth="1"/>
    <col min="11269" max="11269" width="90.28515625" style="1" customWidth="1"/>
    <col min="11270" max="11271" width="64.5703125" style="1" customWidth="1"/>
    <col min="11272" max="11277" width="9.140625" style="1"/>
    <col min="11278" max="11278" width="35" style="1" customWidth="1"/>
    <col min="11279" max="11520" width="9.140625" style="1"/>
    <col min="11521" max="11521" width="42.85546875" style="1" customWidth="1"/>
    <col min="11522" max="11522" width="21.85546875" style="1" customWidth="1"/>
    <col min="11523" max="11523" width="39" style="1" customWidth="1"/>
    <col min="11524" max="11524" width="0" style="1" hidden="1" customWidth="1"/>
    <col min="11525" max="11525" width="90.28515625" style="1" customWidth="1"/>
    <col min="11526" max="11527" width="64.5703125" style="1" customWidth="1"/>
    <col min="11528" max="11533" width="9.140625" style="1"/>
    <col min="11534" max="11534" width="35" style="1" customWidth="1"/>
    <col min="11535" max="11776" width="9.140625" style="1"/>
    <col min="11777" max="11777" width="42.85546875" style="1" customWidth="1"/>
    <col min="11778" max="11778" width="21.85546875" style="1" customWidth="1"/>
    <col min="11779" max="11779" width="39" style="1" customWidth="1"/>
    <col min="11780" max="11780" width="0" style="1" hidden="1" customWidth="1"/>
    <col min="11781" max="11781" width="90.28515625" style="1" customWidth="1"/>
    <col min="11782" max="11783" width="64.5703125" style="1" customWidth="1"/>
    <col min="11784" max="11789" width="9.140625" style="1"/>
    <col min="11790" max="11790" width="35" style="1" customWidth="1"/>
    <col min="11791" max="12032" width="9.140625" style="1"/>
    <col min="12033" max="12033" width="42.85546875" style="1" customWidth="1"/>
    <col min="12034" max="12034" width="21.85546875" style="1" customWidth="1"/>
    <col min="12035" max="12035" width="39" style="1" customWidth="1"/>
    <col min="12036" max="12036" width="0" style="1" hidden="1" customWidth="1"/>
    <col min="12037" max="12037" width="90.28515625" style="1" customWidth="1"/>
    <col min="12038" max="12039" width="64.5703125" style="1" customWidth="1"/>
    <col min="12040" max="12045" width="9.140625" style="1"/>
    <col min="12046" max="12046" width="35" style="1" customWidth="1"/>
    <col min="12047" max="12288" width="9.140625" style="1"/>
    <col min="12289" max="12289" width="42.85546875" style="1" customWidth="1"/>
    <col min="12290" max="12290" width="21.85546875" style="1" customWidth="1"/>
    <col min="12291" max="12291" width="39" style="1" customWidth="1"/>
    <col min="12292" max="12292" width="0" style="1" hidden="1" customWidth="1"/>
    <col min="12293" max="12293" width="90.28515625" style="1" customWidth="1"/>
    <col min="12294" max="12295" width="64.5703125" style="1" customWidth="1"/>
    <col min="12296" max="12301" width="9.140625" style="1"/>
    <col min="12302" max="12302" width="35" style="1" customWidth="1"/>
    <col min="12303" max="12544" width="9.140625" style="1"/>
    <col min="12545" max="12545" width="42.85546875" style="1" customWidth="1"/>
    <col min="12546" max="12546" width="21.85546875" style="1" customWidth="1"/>
    <col min="12547" max="12547" width="39" style="1" customWidth="1"/>
    <col min="12548" max="12548" width="0" style="1" hidden="1" customWidth="1"/>
    <col min="12549" max="12549" width="90.28515625" style="1" customWidth="1"/>
    <col min="12550" max="12551" width="64.5703125" style="1" customWidth="1"/>
    <col min="12552" max="12557" width="9.140625" style="1"/>
    <col min="12558" max="12558" width="35" style="1" customWidth="1"/>
    <col min="12559" max="12800" width="9.140625" style="1"/>
    <col min="12801" max="12801" width="42.85546875" style="1" customWidth="1"/>
    <col min="12802" max="12802" width="21.85546875" style="1" customWidth="1"/>
    <col min="12803" max="12803" width="39" style="1" customWidth="1"/>
    <col min="12804" max="12804" width="0" style="1" hidden="1" customWidth="1"/>
    <col min="12805" max="12805" width="90.28515625" style="1" customWidth="1"/>
    <col min="12806" max="12807" width="64.5703125" style="1" customWidth="1"/>
    <col min="12808" max="12813" width="9.140625" style="1"/>
    <col min="12814" max="12814" width="35" style="1" customWidth="1"/>
    <col min="12815" max="13056" width="9.140625" style="1"/>
    <col min="13057" max="13057" width="42.85546875" style="1" customWidth="1"/>
    <col min="13058" max="13058" width="21.85546875" style="1" customWidth="1"/>
    <col min="13059" max="13059" width="39" style="1" customWidth="1"/>
    <col min="13060" max="13060" width="0" style="1" hidden="1" customWidth="1"/>
    <col min="13061" max="13061" width="90.28515625" style="1" customWidth="1"/>
    <col min="13062" max="13063" width="64.5703125" style="1" customWidth="1"/>
    <col min="13064" max="13069" width="9.140625" style="1"/>
    <col min="13070" max="13070" width="35" style="1" customWidth="1"/>
    <col min="13071" max="13312" width="9.140625" style="1"/>
    <col min="13313" max="13313" width="42.85546875" style="1" customWidth="1"/>
    <col min="13314" max="13314" width="21.85546875" style="1" customWidth="1"/>
    <col min="13315" max="13315" width="39" style="1" customWidth="1"/>
    <col min="13316" max="13316" width="0" style="1" hidden="1" customWidth="1"/>
    <col min="13317" max="13317" width="90.28515625" style="1" customWidth="1"/>
    <col min="13318" max="13319" width="64.5703125" style="1" customWidth="1"/>
    <col min="13320" max="13325" width="9.140625" style="1"/>
    <col min="13326" max="13326" width="35" style="1" customWidth="1"/>
    <col min="13327" max="13568" width="9.140625" style="1"/>
    <col min="13569" max="13569" width="42.85546875" style="1" customWidth="1"/>
    <col min="13570" max="13570" width="21.85546875" style="1" customWidth="1"/>
    <col min="13571" max="13571" width="39" style="1" customWidth="1"/>
    <col min="13572" max="13572" width="0" style="1" hidden="1" customWidth="1"/>
    <col min="13573" max="13573" width="90.28515625" style="1" customWidth="1"/>
    <col min="13574" max="13575" width="64.5703125" style="1" customWidth="1"/>
    <col min="13576" max="13581" width="9.140625" style="1"/>
    <col min="13582" max="13582" width="35" style="1" customWidth="1"/>
    <col min="13583" max="13824" width="9.140625" style="1"/>
    <col min="13825" max="13825" width="42.85546875" style="1" customWidth="1"/>
    <col min="13826" max="13826" width="21.85546875" style="1" customWidth="1"/>
    <col min="13827" max="13827" width="39" style="1" customWidth="1"/>
    <col min="13828" max="13828" width="0" style="1" hidden="1" customWidth="1"/>
    <col min="13829" max="13829" width="90.28515625" style="1" customWidth="1"/>
    <col min="13830" max="13831" width="64.5703125" style="1" customWidth="1"/>
    <col min="13832" max="13837" width="9.140625" style="1"/>
    <col min="13838" max="13838" width="35" style="1" customWidth="1"/>
    <col min="13839" max="14080" width="9.140625" style="1"/>
    <col min="14081" max="14081" width="42.85546875" style="1" customWidth="1"/>
    <col min="14082" max="14082" width="21.85546875" style="1" customWidth="1"/>
    <col min="14083" max="14083" width="39" style="1" customWidth="1"/>
    <col min="14084" max="14084" width="0" style="1" hidden="1" customWidth="1"/>
    <col min="14085" max="14085" width="90.28515625" style="1" customWidth="1"/>
    <col min="14086" max="14087" width="64.5703125" style="1" customWidth="1"/>
    <col min="14088" max="14093" width="9.140625" style="1"/>
    <col min="14094" max="14094" width="35" style="1" customWidth="1"/>
    <col min="14095" max="14336" width="9.140625" style="1"/>
    <col min="14337" max="14337" width="42.85546875" style="1" customWidth="1"/>
    <col min="14338" max="14338" width="21.85546875" style="1" customWidth="1"/>
    <col min="14339" max="14339" width="39" style="1" customWidth="1"/>
    <col min="14340" max="14340" width="0" style="1" hidden="1" customWidth="1"/>
    <col min="14341" max="14341" width="90.28515625" style="1" customWidth="1"/>
    <col min="14342" max="14343" width="64.5703125" style="1" customWidth="1"/>
    <col min="14344" max="14349" width="9.140625" style="1"/>
    <col min="14350" max="14350" width="35" style="1" customWidth="1"/>
    <col min="14351" max="14592" width="9.140625" style="1"/>
    <col min="14593" max="14593" width="42.85546875" style="1" customWidth="1"/>
    <col min="14594" max="14594" width="21.85546875" style="1" customWidth="1"/>
    <col min="14595" max="14595" width="39" style="1" customWidth="1"/>
    <col min="14596" max="14596" width="0" style="1" hidden="1" customWidth="1"/>
    <col min="14597" max="14597" width="90.28515625" style="1" customWidth="1"/>
    <col min="14598" max="14599" width="64.5703125" style="1" customWidth="1"/>
    <col min="14600" max="14605" width="9.140625" style="1"/>
    <col min="14606" max="14606" width="35" style="1" customWidth="1"/>
    <col min="14607" max="14848" width="9.140625" style="1"/>
    <col min="14849" max="14849" width="42.85546875" style="1" customWidth="1"/>
    <col min="14850" max="14850" width="21.85546875" style="1" customWidth="1"/>
    <col min="14851" max="14851" width="39" style="1" customWidth="1"/>
    <col min="14852" max="14852" width="0" style="1" hidden="1" customWidth="1"/>
    <col min="14853" max="14853" width="90.28515625" style="1" customWidth="1"/>
    <col min="14854" max="14855" width="64.5703125" style="1" customWidth="1"/>
    <col min="14856" max="14861" width="9.140625" style="1"/>
    <col min="14862" max="14862" width="35" style="1" customWidth="1"/>
    <col min="14863" max="15104" width="9.140625" style="1"/>
    <col min="15105" max="15105" width="42.85546875" style="1" customWidth="1"/>
    <col min="15106" max="15106" width="21.85546875" style="1" customWidth="1"/>
    <col min="15107" max="15107" width="39" style="1" customWidth="1"/>
    <col min="15108" max="15108" width="0" style="1" hidden="1" customWidth="1"/>
    <col min="15109" max="15109" width="90.28515625" style="1" customWidth="1"/>
    <col min="15110" max="15111" width="64.5703125" style="1" customWidth="1"/>
    <col min="15112" max="15117" width="9.140625" style="1"/>
    <col min="15118" max="15118" width="35" style="1" customWidth="1"/>
    <col min="15119" max="15360" width="9.140625" style="1"/>
    <col min="15361" max="15361" width="42.85546875" style="1" customWidth="1"/>
    <col min="15362" max="15362" width="21.85546875" style="1" customWidth="1"/>
    <col min="15363" max="15363" width="39" style="1" customWidth="1"/>
    <col min="15364" max="15364" width="0" style="1" hidden="1" customWidth="1"/>
    <col min="15365" max="15365" width="90.28515625" style="1" customWidth="1"/>
    <col min="15366" max="15367" width="64.5703125" style="1" customWidth="1"/>
    <col min="15368" max="15373" width="9.140625" style="1"/>
    <col min="15374" max="15374" width="35" style="1" customWidth="1"/>
    <col min="15375" max="15616" width="9.140625" style="1"/>
    <col min="15617" max="15617" width="42.85546875" style="1" customWidth="1"/>
    <col min="15618" max="15618" width="21.85546875" style="1" customWidth="1"/>
    <col min="15619" max="15619" width="39" style="1" customWidth="1"/>
    <col min="15620" max="15620" width="0" style="1" hidden="1" customWidth="1"/>
    <col min="15621" max="15621" width="90.28515625" style="1" customWidth="1"/>
    <col min="15622" max="15623" width="64.5703125" style="1" customWidth="1"/>
    <col min="15624" max="15629" width="9.140625" style="1"/>
    <col min="15630" max="15630" width="35" style="1" customWidth="1"/>
    <col min="15631" max="15872" width="9.140625" style="1"/>
    <col min="15873" max="15873" width="42.85546875" style="1" customWidth="1"/>
    <col min="15874" max="15874" width="21.85546875" style="1" customWidth="1"/>
    <col min="15875" max="15875" width="39" style="1" customWidth="1"/>
    <col min="15876" max="15876" width="0" style="1" hidden="1" customWidth="1"/>
    <col min="15877" max="15877" width="90.28515625" style="1" customWidth="1"/>
    <col min="15878" max="15879" width="64.5703125" style="1" customWidth="1"/>
    <col min="15880" max="15885" width="9.140625" style="1"/>
    <col min="15886" max="15886" width="35" style="1" customWidth="1"/>
    <col min="15887" max="16128" width="9.140625" style="1"/>
    <col min="16129" max="16129" width="42.85546875" style="1" customWidth="1"/>
    <col min="16130" max="16130" width="21.85546875" style="1" customWidth="1"/>
    <col min="16131" max="16131" width="39" style="1" customWidth="1"/>
    <col min="16132" max="16132" width="0" style="1" hidden="1" customWidth="1"/>
    <col min="16133" max="16133" width="90.28515625" style="1" customWidth="1"/>
    <col min="16134" max="16135" width="64.5703125" style="1" customWidth="1"/>
    <col min="16136" max="16141" width="9.140625" style="1"/>
    <col min="16142" max="16142" width="35" style="1" customWidth="1"/>
    <col min="16143" max="16384" width="9.140625" style="1"/>
  </cols>
  <sheetData>
    <row r="1" spans="1:14" x14ac:dyDescent="0.25">
      <c r="A1" s="2" t="s">
        <v>28</v>
      </c>
      <c r="B1" s="18" t="s">
        <v>27</v>
      </c>
    </row>
    <row r="2" spans="1:14" x14ac:dyDescent="0.25">
      <c r="A2" s="2" t="s">
        <v>29</v>
      </c>
      <c r="B2" s="18" t="s">
        <v>59</v>
      </c>
    </row>
    <row r="3" spans="1:14" x14ac:dyDescent="0.25">
      <c r="A3" s="15"/>
    </row>
    <row r="4" spans="1:14" x14ac:dyDescent="0.25">
      <c r="A4" s="2" t="s">
        <v>0</v>
      </c>
      <c r="B4" s="2" t="s">
        <v>1</v>
      </c>
      <c r="C4" s="2" t="s">
        <v>2</v>
      </c>
      <c r="D4" s="2" t="s">
        <v>3</v>
      </c>
      <c r="E4" s="3" t="s">
        <v>4</v>
      </c>
      <c r="F4" s="17" t="s">
        <v>5</v>
      </c>
      <c r="G4" s="17" t="s">
        <v>6</v>
      </c>
      <c r="H4" s="13"/>
      <c r="I4" s="4" t="s">
        <v>7</v>
      </c>
      <c r="J4" s="4" t="s">
        <v>8</v>
      </c>
      <c r="K4" s="4" t="s">
        <v>9</v>
      </c>
      <c r="L4" s="4" t="s">
        <v>10</v>
      </c>
      <c r="M4" s="4" t="s">
        <v>11</v>
      </c>
      <c r="N4" s="5" t="s">
        <v>12</v>
      </c>
    </row>
    <row r="5" spans="1:14" x14ac:dyDescent="0.25">
      <c r="A5" s="19" t="s">
        <v>61</v>
      </c>
      <c r="B5" s="12" t="s">
        <v>14</v>
      </c>
      <c r="C5" s="20" t="s">
        <v>62</v>
      </c>
      <c r="D5" s="21"/>
      <c r="E5" s="22"/>
      <c r="F5" s="10" t="s">
        <v>27</v>
      </c>
      <c r="G5" s="10" t="s">
        <v>27</v>
      </c>
      <c r="H5" s="14" t="str">
        <f>IF(ISNUMBER(SEARCH("__PARAM0__",G5)),SUBSTITUTE(G5,"__PARAM0__","XYZ"),IF(ISNUMBER(SEARCH("__PARAM1__",G5)),SUBSTITUTE(G5,"__PARAM1__","ZYX"),G5))</f>
        <v>WEATHER</v>
      </c>
      <c r="I5" s="26">
        <v>20</v>
      </c>
      <c r="J5" s="26">
        <v>0</v>
      </c>
      <c r="K5" s="26">
        <v>1</v>
      </c>
      <c r="L5" s="26">
        <f t="shared" ref="L5" si="0">INT(I5*(K5*1.25))</f>
        <v>25</v>
      </c>
      <c r="M5" s="26">
        <v>450</v>
      </c>
      <c r="N5" s="27" t="s">
        <v>63</v>
      </c>
    </row>
    <row r="6" spans="1:14" ht="30" x14ac:dyDescent="0.25">
      <c r="A6" s="19" t="s">
        <v>13</v>
      </c>
      <c r="B6" s="12" t="s">
        <v>14</v>
      </c>
      <c r="C6" s="20" t="s">
        <v>15</v>
      </c>
      <c r="D6" s="21"/>
      <c r="E6" s="22" t="s">
        <v>16</v>
      </c>
      <c r="F6" s="10" t="s">
        <v>17</v>
      </c>
      <c r="G6" s="10" t="s">
        <v>17</v>
      </c>
      <c r="H6" s="14" t="str">
        <f t="shared" ref="H6:H69" si="1">IF(ISNUMBER(SEARCH("__PARAM0__",G6)),SUBSTITUTE(G6,"__PARAM0__","XYZ"),IF(ISNUMBER(SEARCH("__PARAM1__",G6)),SUBSTITUTE(G6,"__PARAM1__","ZYX"),G6))</f>
        <v>MY LOCATION</v>
      </c>
      <c r="I6" s="26">
        <v>38</v>
      </c>
      <c r="J6" s="26">
        <v>200</v>
      </c>
      <c r="K6" s="26">
        <v>2</v>
      </c>
      <c r="L6" s="26">
        <f t="shared" ref="L6:L7" si="2">INT(I6*(K6*1.25))</f>
        <v>95</v>
      </c>
      <c r="M6" s="26">
        <v>450</v>
      </c>
      <c r="N6" s="27" t="s">
        <v>18</v>
      </c>
    </row>
    <row r="7" spans="1:14" ht="45" x14ac:dyDescent="0.25">
      <c r="A7" s="19" t="s">
        <v>19</v>
      </c>
      <c r="B7" s="12" t="s">
        <v>14</v>
      </c>
      <c r="C7" s="20" t="s">
        <v>15</v>
      </c>
      <c r="D7" s="21"/>
      <c r="E7" s="22" t="s">
        <v>20</v>
      </c>
      <c r="F7" s="10" t="s">
        <v>21</v>
      </c>
      <c r="G7" s="10" t="s">
        <v>21</v>
      </c>
      <c r="H7" s="14" t="str">
        <f t="shared" si="1"/>
        <v>XYZ°</v>
      </c>
      <c r="I7" s="26">
        <v>200</v>
      </c>
      <c r="J7" s="26">
        <v>-50</v>
      </c>
      <c r="K7" s="26">
        <v>1</v>
      </c>
      <c r="L7" s="26">
        <f t="shared" si="2"/>
        <v>250</v>
      </c>
      <c r="M7" s="26">
        <v>720</v>
      </c>
      <c r="N7" s="27" t="s">
        <v>22</v>
      </c>
    </row>
    <row r="8" spans="1:14" x14ac:dyDescent="0.25">
      <c r="A8" s="23" t="s">
        <v>23</v>
      </c>
      <c r="B8" s="12" t="s">
        <v>14</v>
      </c>
      <c r="C8" s="20" t="s">
        <v>15</v>
      </c>
      <c r="D8" s="21"/>
      <c r="E8" s="24" t="s">
        <v>24</v>
      </c>
      <c r="F8" s="11" t="s">
        <v>25</v>
      </c>
      <c r="G8" s="11" t="s">
        <v>25</v>
      </c>
      <c r="H8" s="14" t="str">
        <f t="shared" si="1"/>
        <v>Partly sunny</v>
      </c>
      <c r="I8" s="26">
        <v>38</v>
      </c>
      <c r="J8" s="26">
        <v>50</v>
      </c>
      <c r="K8" s="26">
        <v>1</v>
      </c>
      <c r="L8" s="26">
        <f>INT(I8*(K8*1.25))</f>
        <v>47</v>
      </c>
      <c r="M8" s="26">
        <v>450</v>
      </c>
      <c r="N8" s="26" t="s">
        <v>26</v>
      </c>
    </row>
    <row r="9" spans="1:14" x14ac:dyDescent="0.25">
      <c r="A9" s="23"/>
      <c r="B9" s="12"/>
      <c r="C9" s="21"/>
      <c r="D9" s="21"/>
      <c r="E9" s="22"/>
      <c r="F9" s="12"/>
      <c r="G9" s="12"/>
      <c r="H9" s="14">
        <f t="shared" si="1"/>
        <v>0</v>
      </c>
      <c r="I9" s="26"/>
      <c r="J9" s="26"/>
      <c r="K9" s="26"/>
      <c r="L9" s="26"/>
      <c r="M9" s="26"/>
      <c r="N9" s="26"/>
    </row>
    <row r="10" spans="1:14" x14ac:dyDescent="0.25">
      <c r="A10" s="23"/>
      <c r="B10" s="12"/>
      <c r="C10" s="21"/>
      <c r="D10" s="21"/>
      <c r="E10" s="22"/>
      <c r="F10" s="12"/>
      <c r="G10" s="12"/>
      <c r="H10" s="14">
        <f t="shared" si="1"/>
        <v>0</v>
      </c>
      <c r="I10" s="26"/>
      <c r="J10" s="26"/>
      <c r="K10" s="26"/>
      <c r="L10" s="26"/>
      <c r="M10" s="26"/>
      <c r="N10" s="26"/>
    </row>
    <row r="11" spans="1:14" x14ac:dyDescent="0.25">
      <c r="A11" s="23"/>
      <c r="B11" s="12"/>
      <c r="C11" s="21"/>
      <c r="D11" s="21"/>
      <c r="E11" s="22"/>
      <c r="F11" s="12"/>
      <c r="G11" s="12"/>
      <c r="H11" s="14">
        <f t="shared" si="1"/>
        <v>0</v>
      </c>
      <c r="I11" s="26"/>
      <c r="J11" s="26"/>
      <c r="K11" s="26"/>
      <c r="L11" s="26"/>
      <c r="M11" s="26"/>
      <c r="N11" s="26"/>
    </row>
    <row r="12" spans="1:14" x14ac:dyDescent="0.25">
      <c r="A12" s="23"/>
      <c r="B12" s="12"/>
      <c r="C12" s="21"/>
      <c r="D12" s="21"/>
      <c r="E12" s="22"/>
      <c r="F12" s="12"/>
      <c r="G12" s="12"/>
      <c r="H12" s="14">
        <f t="shared" si="1"/>
        <v>0</v>
      </c>
      <c r="I12" s="26"/>
      <c r="J12" s="26"/>
      <c r="K12" s="26"/>
      <c r="L12" s="26"/>
      <c r="M12" s="26"/>
      <c r="N12" s="26"/>
    </row>
    <row r="13" spans="1:14" x14ac:dyDescent="0.25">
      <c r="A13" s="23"/>
      <c r="B13" s="12"/>
      <c r="C13" s="21"/>
      <c r="D13" s="21"/>
      <c r="E13" s="22"/>
      <c r="F13" s="12"/>
      <c r="G13" s="12"/>
      <c r="H13" s="14">
        <f t="shared" si="1"/>
        <v>0</v>
      </c>
      <c r="I13" s="26"/>
      <c r="J13" s="26"/>
      <c r="K13" s="26"/>
      <c r="L13" s="26"/>
      <c r="M13" s="26"/>
      <c r="N13" s="26"/>
    </row>
    <row r="14" spans="1:14" x14ac:dyDescent="0.25">
      <c r="A14" s="23"/>
      <c r="B14" s="12"/>
      <c r="C14" s="21"/>
      <c r="D14" s="21"/>
      <c r="E14" s="22"/>
      <c r="F14" s="12"/>
      <c r="G14" s="12"/>
      <c r="H14" s="14">
        <f t="shared" si="1"/>
        <v>0</v>
      </c>
      <c r="I14" s="26"/>
      <c r="J14" s="26"/>
      <c r="K14" s="26"/>
      <c r="L14" s="26"/>
      <c r="M14" s="26"/>
      <c r="N14" s="26"/>
    </row>
    <row r="15" spans="1:14" x14ac:dyDescent="0.25">
      <c r="A15" s="23"/>
      <c r="B15" s="12"/>
      <c r="C15" s="21"/>
      <c r="D15" s="21"/>
      <c r="E15" s="22"/>
      <c r="F15" s="12"/>
      <c r="G15" s="12"/>
      <c r="H15" s="14">
        <f t="shared" si="1"/>
        <v>0</v>
      </c>
      <c r="I15" s="26"/>
      <c r="J15" s="26"/>
      <c r="K15" s="26"/>
      <c r="L15" s="26"/>
      <c r="M15" s="26"/>
      <c r="N15" s="26"/>
    </row>
    <row r="16" spans="1:14" x14ac:dyDescent="0.25">
      <c r="A16" s="23"/>
      <c r="B16" s="12"/>
      <c r="C16" s="21"/>
      <c r="D16" s="21"/>
      <c r="E16" s="22"/>
      <c r="F16" s="12"/>
      <c r="G16" s="12"/>
      <c r="H16" s="14">
        <f t="shared" si="1"/>
        <v>0</v>
      </c>
      <c r="I16" s="26"/>
      <c r="J16" s="26"/>
      <c r="K16" s="26"/>
      <c r="L16" s="26"/>
      <c r="M16" s="26"/>
      <c r="N16" s="26"/>
    </row>
    <row r="17" spans="1:14" x14ac:dyDescent="0.25">
      <c r="A17" s="23"/>
      <c r="B17" s="12"/>
      <c r="C17" s="21"/>
      <c r="D17" s="21"/>
      <c r="E17" s="22"/>
      <c r="F17" s="12"/>
      <c r="G17" s="12"/>
      <c r="H17" s="14">
        <f t="shared" si="1"/>
        <v>0</v>
      </c>
      <c r="I17" s="26"/>
      <c r="J17" s="26"/>
      <c r="K17" s="26"/>
      <c r="L17" s="26"/>
      <c r="M17" s="26"/>
      <c r="N17" s="26"/>
    </row>
    <row r="18" spans="1:14" x14ac:dyDescent="0.25">
      <c r="A18" s="23"/>
      <c r="B18" s="12"/>
      <c r="C18" s="21"/>
      <c r="D18" s="21"/>
      <c r="E18" s="22"/>
      <c r="F18" s="12"/>
      <c r="G18" s="12"/>
      <c r="H18" s="14">
        <f t="shared" si="1"/>
        <v>0</v>
      </c>
      <c r="I18" s="26"/>
      <c r="J18" s="26"/>
      <c r="K18" s="26"/>
      <c r="L18" s="26"/>
      <c r="M18" s="26"/>
      <c r="N18" s="26"/>
    </row>
    <row r="19" spans="1:14" x14ac:dyDescent="0.25">
      <c r="A19" s="23"/>
      <c r="B19" s="12"/>
      <c r="C19" s="21"/>
      <c r="D19" s="21"/>
      <c r="E19" s="22"/>
      <c r="F19" s="12"/>
      <c r="G19" s="12"/>
      <c r="H19" s="14">
        <f t="shared" si="1"/>
        <v>0</v>
      </c>
      <c r="I19" s="26"/>
      <c r="J19" s="26"/>
      <c r="K19" s="26"/>
      <c r="L19" s="26"/>
      <c r="M19" s="26"/>
      <c r="N19" s="26"/>
    </row>
    <row r="20" spans="1:14" x14ac:dyDescent="0.25">
      <c r="A20" s="23"/>
      <c r="B20" s="12"/>
      <c r="C20" s="21"/>
      <c r="D20" s="21"/>
      <c r="E20" s="22"/>
      <c r="F20" s="12"/>
      <c r="G20" s="12"/>
      <c r="H20" s="14">
        <f t="shared" si="1"/>
        <v>0</v>
      </c>
      <c r="I20" s="26"/>
      <c r="J20" s="26"/>
      <c r="K20" s="26"/>
      <c r="L20" s="26"/>
      <c r="M20" s="26"/>
      <c r="N20" s="26"/>
    </row>
    <row r="21" spans="1:14" x14ac:dyDescent="0.25">
      <c r="A21" s="23"/>
      <c r="B21" s="12"/>
      <c r="C21" s="21"/>
      <c r="D21" s="21"/>
      <c r="E21" s="22"/>
      <c r="F21" s="12"/>
      <c r="G21" s="12"/>
      <c r="H21" s="14">
        <f t="shared" si="1"/>
        <v>0</v>
      </c>
      <c r="I21" s="26"/>
      <c r="J21" s="26"/>
      <c r="K21" s="26"/>
      <c r="L21" s="26"/>
      <c r="M21" s="26"/>
      <c r="N21" s="26"/>
    </row>
    <row r="22" spans="1:14" x14ac:dyDescent="0.25">
      <c r="A22" s="23"/>
      <c r="B22" s="12"/>
      <c r="C22" s="21"/>
      <c r="D22" s="21"/>
      <c r="E22" s="22"/>
      <c r="F22" s="12"/>
      <c r="G22" s="12"/>
      <c r="H22" s="14">
        <f t="shared" si="1"/>
        <v>0</v>
      </c>
      <c r="I22" s="26"/>
      <c r="J22" s="26"/>
      <c r="K22" s="26"/>
      <c r="L22" s="26"/>
      <c r="M22" s="26"/>
      <c r="N22" s="26"/>
    </row>
    <row r="23" spans="1:14" x14ac:dyDescent="0.25">
      <c r="A23" s="23"/>
      <c r="B23" s="12"/>
      <c r="C23" s="21"/>
      <c r="D23" s="21"/>
      <c r="E23" s="22"/>
      <c r="F23" s="12"/>
      <c r="G23" s="12"/>
      <c r="H23" s="14">
        <f t="shared" si="1"/>
        <v>0</v>
      </c>
      <c r="I23" s="26"/>
      <c r="J23" s="26"/>
      <c r="K23" s="26"/>
      <c r="L23" s="26"/>
      <c r="M23" s="26"/>
      <c r="N23" s="26"/>
    </row>
    <row r="24" spans="1:14" x14ac:dyDescent="0.25">
      <c r="A24" s="23"/>
      <c r="B24" s="12"/>
      <c r="C24" s="21"/>
      <c r="D24" s="21"/>
      <c r="E24" s="22"/>
      <c r="F24" s="12"/>
      <c r="G24" s="12"/>
      <c r="H24" s="14">
        <f t="shared" si="1"/>
        <v>0</v>
      </c>
      <c r="I24" s="26"/>
      <c r="J24" s="26"/>
      <c r="K24" s="26"/>
      <c r="L24" s="26"/>
      <c r="M24" s="26"/>
      <c r="N24" s="26"/>
    </row>
    <row r="25" spans="1:14" x14ac:dyDescent="0.25">
      <c r="A25" s="23"/>
      <c r="B25" s="12"/>
      <c r="C25" s="21"/>
      <c r="D25" s="21"/>
      <c r="E25" s="22"/>
      <c r="F25" s="12"/>
      <c r="G25" s="12"/>
      <c r="H25" s="14">
        <f t="shared" si="1"/>
        <v>0</v>
      </c>
      <c r="I25" s="26"/>
      <c r="J25" s="26"/>
      <c r="K25" s="26"/>
      <c r="L25" s="26"/>
      <c r="M25" s="26"/>
      <c r="N25" s="26"/>
    </row>
    <row r="26" spans="1:14" x14ac:dyDescent="0.25">
      <c r="A26" s="23"/>
      <c r="B26" s="12"/>
      <c r="C26" s="21"/>
      <c r="D26" s="21"/>
      <c r="E26" s="22"/>
      <c r="F26" s="12"/>
      <c r="G26" s="12"/>
      <c r="H26" s="14">
        <f t="shared" si="1"/>
        <v>0</v>
      </c>
      <c r="I26" s="26"/>
      <c r="J26" s="26"/>
      <c r="K26" s="26"/>
      <c r="L26" s="26"/>
      <c r="M26" s="26"/>
      <c r="N26" s="26"/>
    </row>
    <row r="27" spans="1:14" x14ac:dyDescent="0.25">
      <c r="A27" s="23"/>
      <c r="B27" s="12"/>
      <c r="C27" s="21"/>
      <c r="D27" s="21"/>
      <c r="E27" s="22"/>
      <c r="F27" s="12"/>
      <c r="G27" s="12"/>
      <c r="H27" s="14">
        <f t="shared" si="1"/>
        <v>0</v>
      </c>
      <c r="I27" s="26"/>
      <c r="J27" s="26"/>
      <c r="K27" s="26"/>
      <c r="L27" s="26"/>
      <c r="M27" s="26"/>
      <c r="N27" s="26"/>
    </row>
    <row r="28" spans="1:14" x14ac:dyDescent="0.25">
      <c r="A28" s="23"/>
      <c r="B28" s="12"/>
      <c r="C28" s="21"/>
      <c r="D28" s="21"/>
      <c r="E28" s="22"/>
      <c r="F28" s="12"/>
      <c r="G28" s="12"/>
      <c r="H28" s="14">
        <f t="shared" si="1"/>
        <v>0</v>
      </c>
      <c r="I28" s="26"/>
      <c r="J28" s="26"/>
      <c r="K28" s="26"/>
      <c r="L28" s="26"/>
      <c r="M28" s="26"/>
      <c r="N28" s="26"/>
    </row>
    <row r="29" spans="1:14" x14ac:dyDescent="0.25">
      <c r="A29" s="23"/>
      <c r="B29" s="12"/>
      <c r="C29" s="21"/>
      <c r="D29" s="21"/>
      <c r="E29" s="22"/>
      <c r="F29" s="12"/>
      <c r="G29" s="12"/>
      <c r="H29" s="14">
        <f t="shared" si="1"/>
        <v>0</v>
      </c>
      <c r="I29" s="26"/>
      <c r="J29" s="26"/>
      <c r="K29" s="26"/>
      <c r="L29" s="26"/>
      <c r="M29" s="26"/>
      <c r="N29" s="26"/>
    </row>
    <row r="30" spans="1:14" x14ac:dyDescent="0.25">
      <c r="A30" s="23"/>
      <c r="B30" s="12"/>
      <c r="C30" s="21"/>
      <c r="D30" s="21"/>
      <c r="E30" s="22"/>
      <c r="F30" s="12"/>
      <c r="G30" s="12"/>
      <c r="H30" s="14">
        <f t="shared" si="1"/>
        <v>0</v>
      </c>
      <c r="I30" s="26"/>
      <c r="J30" s="26"/>
      <c r="K30" s="26"/>
      <c r="L30" s="26"/>
      <c r="M30" s="26"/>
      <c r="N30" s="26"/>
    </row>
    <row r="31" spans="1:14" x14ac:dyDescent="0.25">
      <c r="A31" s="23"/>
      <c r="B31" s="12"/>
      <c r="C31" s="21"/>
      <c r="D31" s="21"/>
      <c r="E31" s="22"/>
      <c r="F31" s="12"/>
      <c r="G31" s="12"/>
      <c r="H31" s="14">
        <f t="shared" si="1"/>
        <v>0</v>
      </c>
      <c r="I31" s="26"/>
      <c r="J31" s="26"/>
      <c r="K31" s="26"/>
      <c r="L31" s="26"/>
      <c r="M31" s="26"/>
      <c r="N31" s="26"/>
    </row>
    <row r="32" spans="1:14" x14ac:dyDescent="0.25">
      <c r="A32" s="23"/>
      <c r="B32" s="12"/>
      <c r="C32" s="21"/>
      <c r="D32" s="21"/>
      <c r="E32" s="22"/>
      <c r="F32" s="12"/>
      <c r="G32" s="12"/>
      <c r="H32" s="14">
        <f t="shared" si="1"/>
        <v>0</v>
      </c>
      <c r="I32" s="26"/>
      <c r="J32" s="26"/>
      <c r="K32" s="26"/>
      <c r="L32" s="26"/>
      <c r="M32" s="26"/>
      <c r="N32" s="26"/>
    </row>
    <row r="33" spans="1:14" x14ac:dyDescent="0.25">
      <c r="A33" s="23"/>
      <c r="B33" s="12"/>
      <c r="C33" s="21"/>
      <c r="D33" s="21"/>
      <c r="E33" s="22"/>
      <c r="F33" s="12"/>
      <c r="G33" s="12"/>
      <c r="H33" s="14">
        <f t="shared" si="1"/>
        <v>0</v>
      </c>
      <c r="I33" s="26"/>
      <c r="J33" s="26"/>
      <c r="K33" s="26"/>
      <c r="L33" s="26"/>
      <c r="M33" s="26"/>
      <c r="N33" s="26"/>
    </row>
    <row r="34" spans="1:14" x14ac:dyDescent="0.25">
      <c r="A34" s="23"/>
      <c r="B34" s="12"/>
      <c r="C34" s="21"/>
      <c r="D34" s="21"/>
      <c r="E34" s="22"/>
      <c r="F34" s="12"/>
      <c r="G34" s="12"/>
      <c r="H34" s="14">
        <f t="shared" si="1"/>
        <v>0</v>
      </c>
      <c r="I34" s="26"/>
      <c r="J34" s="26"/>
      <c r="K34" s="26"/>
      <c r="L34" s="26"/>
      <c r="M34" s="26"/>
      <c r="N34" s="26"/>
    </row>
    <row r="35" spans="1:14" x14ac:dyDescent="0.25">
      <c r="A35" s="23"/>
      <c r="B35" s="12"/>
      <c r="C35" s="21"/>
      <c r="D35" s="21"/>
      <c r="E35" s="22"/>
      <c r="F35" s="12"/>
      <c r="G35" s="12"/>
      <c r="H35" s="14">
        <f t="shared" si="1"/>
        <v>0</v>
      </c>
      <c r="I35" s="26"/>
      <c r="J35" s="26"/>
      <c r="K35" s="26"/>
      <c r="L35" s="26"/>
      <c r="M35" s="26"/>
      <c r="N35" s="26"/>
    </row>
    <row r="36" spans="1:14" x14ac:dyDescent="0.25">
      <c r="A36" s="23"/>
      <c r="B36" s="12"/>
      <c r="C36" s="21"/>
      <c r="D36" s="21"/>
      <c r="E36" s="22"/>
      <c r="F36" s="12"/>
      <c r="G36" s="12"/>
      <c r="H36" s="14">
        <f t="shared" si="1"/>
        <v>0</v>
      </c>
      <c r="I36" s="26"/>
      <c r="J36" s="26"/>
      <c r="K36" s="26"/>
      <c r="L36" s="26"/>
      <c r="M36" s="26"/>
      <c r="N36" s="26"/>
    </row>
    <row r="37" spans="1:14" x14ac:dyDescent="0.25">
      <c r="A37" s="23"/>
      <c r="B37" s="12"/>
      <c r="C37" s="21"/>
      <c r="D37" s="21"/>
      <c r="E37" s="22"/>
      <c r="F37" s="12"/>
      <c r="G37" s="12"/>
      <c r="H37" s="14">
        <f t="shared" si="1"/>
        <v>0</v>
      </c>
      <c r="I37" s="26"/>
      <c r="J37" s="26"/>
      <c r="K37" s="26"/>
      <c r="L37" s="26"/>
      <c r="M37" s="26"/>
      <c r="N37" s="26"/>
    </row>
    <row r="38" spans="1:14" x14ac:dyDescent="0.25">
      <c r="A38" s="23"/>
      <c r="B38" s="12"/>
      <c r="C38" s="21"/>
      <c r="D38" s="21"/>
      <c r="E38" s="22"/>
      <c r="F38" s="12"/>
      <c r="G38" s="12"/>
      <c r="H38" s="14">
        <f t="shared" si="1"/>
        <v>0</v>
      </c>
      <c r="I38" s="26"/>
      <c r="J38" s="26"/>
      <c r="K38" s="26"/>
      <c r="L38" s="26"/>
      <c r="M38" s="26"/>
      <c r="N38" s="26"/>
    </row>
    <row r="39" spans="1:14" x14ac:dyDescent="0.25">
      <c r="A39" s="23"/>
      <c r="B39" s="12"/>
      <c r="C39" s="21"/>
      <c r="D39" s="21"/>
      <c r="E39" s="22"/>
      <c r="F39" s="12"/>
      <c r="G39" s="12"/>
      <c r="H39" s="14">
        <f t="shared" si="1"/>
        <v>0</v>
      </c>
      <c r="I39" s="26"/>
      <c r="J39" s="26"/>
      <c r="K39" s="26"/>
      <c r="L39" s="26"/>
      <c r="M39" s="26"/>
      <c r="N39" s="26"/>
    </row>
    <row r="40" spans="1:14" x14ac:dyDescent="0.25">
      <c r="A40" s="23"/>
      <c r="B40" s="12"/>
      <c r="C40" s="21"/>
      <c r="D40" s="21"/>
      <c r="E40" s="22"/>
      <c r="F40" s="12"/>
      <c r="G40" s="12"/>
      <c r="H40" s="14">
        <f t="shared" si="1"/>
        <v>0</v>
      </c>
      <c r="I40" s="26"/>
      <c r="J40" s="26"/>
      <c r="K40" s="26"/>
      <c r="L40" s="26"/>
      <c r="M40" s="26"/>
      <c r="N40" s="26"/>
    </row>
    <row r="41" spans="1:14" x14ac:dyDescent="0.25">
      <c r="A41" s="23"/>
      <c r="B41" s="12"/>
      <c r="C41" s="21"/>
      <c r="D41" s="21"/>
      <c r="E41" s="22"/>
      <c r="F41" s="12"/>
      <c r="G41" s="12"/>
      <c r="H41" s="14">
        <f t="shared" si="1"/>
        <v>0</v>
      </c>
      <c r="I41" s="26"/>
      <c r="J41" s="26"/>
      <c r="K41" s="26"/>
      <c r="L41" s="26"/>
      <c r="M41" s="26"/>
      <c r="N41" s="26"/>
    </row>
    <row r="42" spans="1:14" x14ac:dyDescent="0.25">
      <c r="A42" s="23"/>
      <c r="B42" s="12"/>
      <c r="C42" s="21"/>
      <c r="D42" s="21"/>
      <c r="E42" s="22"/>
      <c r="F42" s="12"/>
      <c r="G42" s="12"/>
      <c r="H42" s="14">
        <f t="shared" si="1"/>
        <v>0</v>
      </c>
      <c r="I42" s="26"/>
      <c r="J42" s="26"/>
      <c r="K42" s="26"/>
      <c r="L42" s="26"/>
      <c r="M42" s="26"/>
      <c r="N42" s="26"/>
    </row>
    <row r="43" spans="1:14" x14ac:dyDescent="0.25">
      <c r="A43" s="23"/>
      <c r="B43" s="12"/>
      <c r="C43" s="21"/>
      <c r="D43" s="21"/>
      <c r="E43" s="22"/>
      <c r="F43" s="12"/>
      <c r="G43" s="12"/>
      <c r="H43" s="14">
        <f t="shared" si="1"/>
        <v>0</v>
      </c>
      <c r="I43" s="26"/>
      <c r="J43" s="26"/>
      <c r="K43" s="26"/>
      <c r="L43" s="26"/>
      <c r="M43" s="26"/>
      <c r="N43" s="26"/>
    </row>
    <row r="44" spans="1:14" x14ac:dyDescent="0.25">
      <c r="A44" s="23"/>
      <c r="B44" s="12"/>
      <c r="C44" s="21"/>
      <c r="D44" s="21"/>
      <c r="E44" s="22"/>
      <c r="F44" s="12"/>
      <c r="G44" s="12"/>
      <c r="H44" s="14">
        <f t="shared" si="1"/>
        <v>0</v>
      </c>
      <c r="I44" s="26"/>
      <c r="J44" s="26"/>
      <c r="K44" s="26"/>
      <c r="L44" s="26"/>
      <c r="M44" s="26"/>
      <c r="N44" s="26"/>
    </row>
    <row r="45" spans="1:14" x14ac:dyDescent="0.25">
      <c r="A45" s="23"/>
      <c r="B45" s="12"/>
      <c r="C45" s="21"/>
      <c r="D45" s="21"/>
      <c r="E45" s="22"/>
      <c r="F45" s="12"/>
      <c r="G45" s="12"/>
      <c r="H45" s="14">
        <f t="shared" si="1"/>
        <v>0</v>
      </c>
      <c r="I45" s="26"/>
      <c r="J45" s="26"/>
      <c r="K45" s="26"/>
      <c r="L45" s="26"/>
      <c r="M45" s="26"/>
      <c r="N45" s="26"/>
    </row>
    <row r="46" spans="1:14" x14ac:dyDescent="0.25">
      <c r="A46" s="23"/>
      <c r="B46" s="12"/>
      <c r="C46" s="21"/>
      <c r="D46" s="21"/>
      <c r="E46" s="22"/>
      <c r="F46" s="12"/>
      <c r="G46" s="12"/>
      <c r="H46" s="14">
        <f t="shared" si="1"/>
        <v>0</v>
      </c>
      <c r="I46" s="26"/>
      <c r="J46" s="26"/>
      <c r="K46" s="26"/>
      <c r="L46" s="26"/>
      <c r="M46" s="26"/>
      <c r="N46" s="26"/>
    </row>
    <row r="47" spans="1:14" x14ac:dyDescent="0.25">
      <c r="A47" s="23"/>
      <c r="B47" s="12"/>
      <c r="C47" s="21"/>
      <c r="D47" s="21"/>
      <c r="E47" s="22"/>
      <c r="F47" s="12"/>
      <c r="G47" s="12"/>
      <c r="H47" s="14">
        <f t="shared" si="1"/>
        <v>0</v>
      </c>
      <c r="I47" s="26"/>
      <c r="J47" s="26"/>
      <c r="K47" s="26"/>
      <c r="L47" s="26"/>
      <c r="M47" s="26"/>
      <c r="N47" s="26"/>
    </row>
    <row r="48" spans="1:14" x14ac:dyDescent="0.25">
      <c r="A48" s="23"/>
      <c r="B48" s="12"/>
      <c r="C48" s="21"/>
      <c r="D48" s="21"/>
      <c r="E48" s="22"/>
      <c r="F48" s="12"/>
      <c r="G48" s="12"/>
      <c r="H48" s="14">
        <f t="shared" si="1"/>
        <v>0</v>
      </c>
      <c r="I48" s="26"/>
      <c r="J48" s="26"/>
      <c r="K48" s="26"/>
      <c r="L48" s="26"/>
      <c r="M48" s="26"/>
      <c r="N48" s="26"/>
    </row>
    <row r="49" spans="1:14" x14ac:dyDescent="0.25">
      <c r="A49" s="23"/>
      <c r="B49" s="12"/>
      <c r="C49" s="21"/>
      <c r="D49" s="21"/>
      <c r="E49" s="22"/>
      <c r="F49" s="12"/>
      <c r="G49" s="12"/>
      <c r="H49" s="14">
        <f t="shared" si="1"/>
        <v>0</v>
      </c>
      <c r="I49" s="26"/>
      <c r="J49" s="26"/>
      <c r="K49" s="26"/>
      <c r="L49" s="26"/>
      <c r="M49" s="26"/>
      <c r="N49" s="26"/>
    </row>
    <row r="50" spans="1:14" x14ac:dyDescent="0.25">
      <c r="A50" s="23"/>
      <c r="B50" s="12"/>
      <c r="C50" s="21"/>
      <c r="D50" s="21"/>
      <c r="E50" s="22"/>
      <c r="F50" s="12"/>
      <c r="G50" s="12"/>
      <c r="H50" s="14">
        <f t="shared" si="1"/>
        <v>0</v>
      </c>
      <c r="I50" s="26"/>
      <c r="J50" s="26"/>
      <c r="K50" s="26"/>
      <c r="L50" s="26"/>
      <c r="M50" s="26"/>
      <c r="N50" s="26"/>
    </row>
    <row r="51" spans="1:14" x14ac:dyDescent="0.25">
      <c r="A51" s="23"/>
      <c r="B51" s="12"/>
      <c r="C51" s="21"/>
      <c r="D51" s="21"/>
      <c r="E51" s="22"/>
      <c r="F51" s="12"/>
      <c r="G51" s="12"/>
      <c r="H51" s="14">
        <f t="shared" si="1"/>
        <v>0</v>
      </c>
      <c r="I51" s="26"/>
      <c r="J51" s="26"/>
      <c r="K51" s="26"/>
      <c r="L51" s="26"/>
      <c r="M51" s="26"/>
      <c r="N51" s="26"/>
    </row>
    <row r="52" spans="1:14" x14ac:dyDescent="0.25">
      <c r="A52" s="23"/>
      <c r="B52" s="12"/>
      <c r="C52" s="21"/>
      <c r="D52" s="21"/>
      <c r="E52" s="22"/>
      <c r="F52" s="12"/>
      <c r="G52" s="12"/>
      <c r="H52" s="14">
        <f t="shared" si="1"/>
        <v>0</v>
      </c>
      <c r="I52" s="26"/>
      <c r="J52" s="26"/>
      <c r="K52" s="26"/>
      <c r="L52" s="26"/>
      <c r="M52" s="26"/>
      <c r="N52" s="26"/>
    </row>
    <row r="53" spans="1:14" x14ac:dyDescent="0.25">
      <c r="A53" s="23"/>
      <c r="B53" s="12"/>
      <c r="C53" s="21"/>
      <c r="D53" s="21"/>
      <c r="E53" s="22"/>
      <c r="F53" s="12"/>
      <c r="G53" s="12"/>
      <c r="H53" s="14">
        <f t="shared" si="1"/>
        <v>0</v>
      </c>
      <c r="I53" s="26"/>
      <c r="J53" s="26"/>
      <c r="K53" s="26"/>
      <c r="L53" s="26"/>
      <c r="M53" s="26"/>
      <c r="N53" s="26"/>
    </row>
    <row r="54" spans="1:14" x14ac:dyDescent="0.25">
      <c r="A54" s="23"/>
      <c r="B54" s="12"/>
      <c r="C54" s="21"/>
      <c r="D54" s="21"/>
      <c r="E54" s="22"/>
      <c r="F54" s="12"/>
      <c r="G54" s="12"/>
      <c r="H54" s="14">
        <f t="shared" si="1"/>
        <v>0</v>
      </c>
      <c r="I54" s="26"/>
      <c r="J54" s="26"/>
      <c r="K54" s="26"/>
      <c r="L54" s="26"/>
      <c r="M54" s="26"/>
      <c r="N54" s="26"/>
    </row>
    <row r="55" spans="1:14" x14ac:dyDescent="0.25">
      <c r="A55" s="23"/>
      <c r="B55" s="12"/>
      <c r="C55" s="21"/>
      <c r="D55" s="21"/>
      <c r="E55" s="22"/>
      <c r="F55" s="12"/>
      <c r="G55" s="12"/>
      <c r="H55" s="14">
        <f t="shared" si="1"/>
        <v>0</v>
      </c>
      <c r="I55" s="26"/>
      <c r="J55" s="26"/>
      <c r="K55" s="26"/>
      <c r="L55" s="26"/>
      <c r="M55" s="26"/>
      <c r="N55" s="26"/>
    </row>
    <row r="56" spans="1:14" x14ac:dyDescent="0.25">
      <c r="A56" s="23"/>
      <c r="B56" s="12"/>
      <c r="C56" s="21"/>
      <c r="D56" s="21"/>
      <c r="E56" s="22"/>
      <c r="F56" s="12"/>
      <c r="G56" s="12"/>
      <c r="H56" s="14">
        <f t="shared" si="1"/>
        <v>0</v>
      </c>
      <c r="I56" s="26"/>
      <c r="J56" s="26"/>
      <c r="K56" s="26"/>
      <c r="L56" s="26"/>
      <c r="M56" s="26"/>
      <c r="N56" s="26"/>
    </row>
    <row r="57" spans="1:14" x14ac:dyDescent="0.25">
      <c r="A57" s="23"/>
      <c r="B57" s="12"/>
      <c r="C57" s="21"/>
      <c r="D57" s="21"/>
      <c r="E57" s="22"/>
      <c r="F57" s="12"/>
      <c r="G57" s="12"/>
      <c r="H57" s="14">
        <f t="shared" si="1"/>
        <v>0</v>
      </c>
      <c r="I57" s="26"/>
      <c r="J57" s="26"/>
      <c r="K57" s="26"/>
      <c r="L57" s="26"/>
      <c r="M57" s="26"/>
      <c r="N57" s="26"/>
    </row>
    <row r="58" spans="1:14" x14ac:dyDescent="0.25">
      <c r="A58" s="23"/>
      <c r="B58" s="12"/>
      <c r="C58" s="21"/>
      <c r="D58" s="21"/>
      <c r="E58" s="22"/>
      <c r="F58" s="12"/>
      <c r="G58" s="12"/>
      <c r="H58" s="14">
        <f t="shared" si="1"/>
        <v>0</v>
      </c>
      <c r="I58" s="26"/>
      <c r="J58" s="26"/>
      <c r="K58" s="26"/>
      <c r="L58" s="26"/>
      <c r="M58" s="26"/>
      <c r="N58" s="26"/>
    </row>
    <row r="59" spans="1:14" x14ac:dyDescent="0.25">
      <c r="A59" s="23"/>
      <c r="B59" s="12"/>
      <c r="C59" s="21"/>
      <c r="D59" s="21"/>
      <c r="E59" s="22"/>
      <c r="F59" s="12"/>
      <c r="G59" s="12"/>
      <c r="H59" s="14">
        <f t="shared" si="1"/>
        <v>0</v>
      </c>
      <c r="I59" s="26"/>
      <c r="J59" s="26"/>
      <c r="K59" s="26"/>
      <c r="L59" s="26"/>
      <c r="M59" s="26"/>
      <c r="N59" s="26"/>
    </row>
    <row r="60" spans="1:14" x14ac:dyDescent="0.25">
      <c r="A60" s="25"/>
      <c r="B60" s="21"/>
      <c r="C60" s="21"/>
      <c r="D60" s="21"/>
      <c r="E60" s="22"/>
      <c r="H60" s="14">
        <f t="shared" si="1"/>
        <v>0</v>
      </c>
      <c r="I60" s="26"/>
      <c r="J60" s="26"/>
      <c r="K60" s="26"/>
      <c r="L60" s="26"/>
      <c r="M60" s="26"/>
      <c r="N60" s="26"/>
    </row>
    <row r="61" spans="1:14" x14ac:dyDescent="0.25">
      <c r="A61" s="25"/>
      <c r="B61" s="21"/>
      <c r="C61" s="21"/>
      <c r="D61" s="21"/>
      <c r="E61" s="22"/>
      <c r="H61" s="14">
        <f t="shared" si="1"/>
        <v>0</v>
      </c>
      <c r="I61" s="26"/>
      <c r="J61" s="26"/>
      <c r="K61" s="26"/>
      <c r="L61" s="26"/>
      <c r="M61" s="26"/>
      <c r="N61" s="26"/>
    </row>
    <row r="62" spans="1:14" x14ac:dyDescent="0.25">
      <c r="A62" s="25"/>
      <c r="B62" s="21"/>
      <c r="C62" s="21"/>
      <c r="D62" s="21"/>
      <c r="E62" s="22"/>
      <c r="H62" s="14">
        <f t="shared" si="1"/>
        <v>0</v>
      </c>
      <c r="I62" s="26"/>
      <c r="J62" s="26"/>
      <c r="K62" s="26"/>
      <c r="L62" s="26"/>
      <c r="M62" s="26"/>
      <c r="N62" s="26"/>
    </row>
    <row r="63" spans="1:14" x14ac:dyDescent="0.25">
      <c r="A63" s="25"/>
      <c r="B63" s="21"/>
      <c r="C63" s="21"/>
      <c r="D63" s="21"/>
      <c r="E63" s="22"/>
      <c r="H63" s="14">
        <f t="shared" si="1"/>
        <v>0</v>
      </c>
      <c r="I63" s="26"/>
      <c r="J63" s="26"/>
      <c r="K63" s="26"/>
      <c r="L63" s="26"/>
      <c r="M63" s="26"/>
      <c r="N63" s="26"/>
    </row>
    <row r="64" spans="1:14" x14ac:dyDescent="0.25">
      <c r="A64" s="25"/>
      <c r="B64" s="21"/>
      <c r="C64" s="21"/>
      <c r="D64" s="21"/>
      <c r="E64" s="22"/>
      <c r="H64" s="14">
        <f t="shared" si="1"/>
        <v>0</v>
      </c>
      <c r="I64" s="26"/>
      <c r="J64" s="26"/>
      <c r="K64" s="26"/>
      <c r="L64" s="26"/>
      <c r="M64" s="26"/>
      <c r="N64" s="26"/>
    </row>
    <row r="65" spans="1:14" x14ac:dyDescent="0.25">
      <c r="A65" s="25"/>
      <c r="B65" s="21"/>
      <c r="C65" s="21"/>
      <c r="D65" s="21"/>
      <c r="E65" s="22"/>
      <c r="H65" s="14">
        <f t="shared" si="1"/>
        <v>0</v>
      </c>
      <c r="I65" s="26"/>
      <c r="J65" s="26"/>
      <c r="K65" s="26"/>
      <c r="L65" s="26"/>
      <c r="M65" s="26"/>
      <c r="N65" s="26"/>
    </row>
    <row r="66" spans="1:14" x14ac:dyDescent="0.25">
      <c r="A66" s="25"/>
      <c r="B66" s="21"/>
      <c r="C66" s="21"/>
      <c r="D66" s="21"/>
      <c r="E66" s="22"/>
      <c r="H66" s="14">
        <f t="shared" si="1"/>
        <v>0</v>
      </c>
      <c r="I66" s="26"/>
      <c r="J66" s="26"/>
      <c r="K66" s="26"/>
      <c r="L66" s="26"/>
      <c r="M66" s="26"/>
      <c r="N66" s="26"/>
    </row>
    <row r="67" spans="1:14" x14ac:dyDescent="0.25">
      <c r="A67" s="25"/>
      <c r="B67" s="21"/>
      <c r="C67" s="21"/>
      <c r="D67" s="21"/>
      <c r="E67" s="22"/>
      <c r="H67" s="14">
        <f t="shared" si="1"/>
        <v>0</v>
      </c>
      <c r="I67" s="26"/>
      <c r="J67" s="26"/>
      <c r="K67" s="26"/>
      <c r="L67" s="26"/>
      <c r="M67" s="26"/>
      <c r="N67" s="26"/>
    </row>
    <row r="68" spans="1:14" x14ac:dyDescent="0.25">
      <c r="A68" s="25"/>
      <c r="B68" s="21"/>
      <c r="C68" s="21"/>
      <c r="D68" s="21"/>
      <c r="E68" s="22"/>
      <c r="H68" s="14">
        <f t="shared" si="1"/>
        <v>0</v>
      </c>
      <c r="I68" s="26"/>
      <c r="J68" s="26"/>
      <c r="K68" s="26"/>
      <c r="L68" s="26"/>
      <c r="M68" s="26"/>
      <c r="N68" s="26"/>
    </row>
    <row r="69" spans="1:14" x14ac:dyDescent="0.25">
      <c r="A69" s="25"/>
      <c r="B69" s="21"/>
      <c r="C69" s="21"/>
      <c r="D69" s="21"/>
      <c r="E69" s="22"/>
      <c r="H69" s="14">
        <f t="shared" si="1"/>
        <v>0</v>
      </c>
      <c r="I69" s="26"/>
      <c r="J69" s="26"/>
      <c r="K69" s="26"/>
      <c r="L69" s="26"/>
      <c r="M69" s="26"/>
      <c r="N69" s="26"/>
    </row>
    <row r="70" spans="1:14" x14ac:dyDescent="0.25">
      <c r="A70" s="25"/>
      <c r="B70" s="21"/>
      <c r="C70" s="21"/>
      <c r="D70" s="21"/>
      <c r="E70" s="22"/>
      <c r="H70" s="14">
        <f t="shared" ref="H70:H133" si="3">IF(ISNUMBER(SEARCH("__PARAM0__",G70)),SUBSTITUTE(G70,"__PARAM0__","XYZ"),IF(ISNUMBER(SEARCH("__PARAM1__",G70)),SUBSTITUTE(G70,"__PARAM1__","ZYX"),G70))</f>
        <v>0</v>
      </c>
      <c r="I70" s="26"/>
      <c r="J70" s="26"/>
      <c r="K70" s="26"/>
      <c r="L70" s="26"/>
      <c r="M70" s="26"/>
      <c r="N70" s="26"/>
    </row>
    <row r="71" spans="1:14" x14ac:dyDescent="0.25">
      <c r="A71" s="25"/>
      <c r="B71" s="21"/>
      <c r="C71" s="21"/>
      <c r="D71" s="21"/>
      <c r="E71" s="22"/>
      <c r="H71" s="14">
        <f t="shared" si="3"/>
        <v>0</v>
      </c>
      <c r="I71" s="26"/>
      <c r="J71" s="26"/>
      <c r="K71" s="26"/>
      <c r="L71" s="26"/>
      <c r="M71" s="26"/>
      <c r="N71" s="26"/>
    </row>
    <row r="72" spans="1:14" x14ac:dyDescent="0.25">
      <c r="A72" s="25"/>
      <c r="B72" s="21"/>
      <c r="C72" s="21"/>
      <c r="D72" s="21"/>
      <c r="E72" s="22"/>
      <c r="H72" s="14">
        <f t="shared" si="3"/>
        <v>0</v>
      </c>
      <c r="I72" s="26"/>
      <c r="J72" s="26"/>
      <c r="K72" s="26"/>
      <c r="L72" s="26"/>
      <c r="M72" s="26"/>
      <c r="N72" s="26"/>
    </row>
    <row r="73" spans="1:14" x14ac:dyDescent="0.25">
      <c r="A73" s="25"/>
      <c r="B73" s="21"/>
      <c r="C73" s="21"/>
      <c r="D73" s="21"/>
      <c r="E73" s="22"/>
      <c r="H73" s="14">
        <f t="shared" si="3"/>
        <v>0</v>
      </c>
      <c r="I73" s="26"/>
      <c r="J73" s="26"/>
      <c r="K73" s="26"/>
      <c r="L73" s="26"/>
      <c r="M73" s="26"/>
      <c r="N73" s="26"/>
    </row>
    <row r="74" spans="1:14" x14ac:dyDescent="0.25">
      <c r="A74" s="25"/>
      <c r="B74" s="21"/>
      <c r="C74" s="21"/>
      <c r="D74" s="21"/>
      <c r="E74" s="22"/>
      <c r="H74" s="14">
        <f t="shared" si="3"/>
        <v>0</v>
      </c>
      <c r="I74" s="26"/>
      <c r="J74" s="26"/>
      <c r="K74" s="26"/>
      <c r="L74" s="26"/>
      <c r="M74" s="26"/>
      <c r="N74" s="26"/>
    </row>
    <row r="75" spans="1:14" x14ac:dyDescent="0.25">
      <c r="A75" s="25"/>
      <c r="B75" s="21"/>
      <c r="C75" s="21"/>
      <c r="D75" s="21"/>
      <c r="E75" s="22"/>
      <c r="H75" s="14">
        <f t="shared" si="3"/>
        <v>0</v>
      </c>
      <c r="I75" s="26"/>
      <c r="J75" s="26"/>
      <c r="K75" s="26"/>
      <c r="L75" s="26"/>
      <c r="M75" s="26"/>
      <c r="N75" s="26"/>
    </row>
    <row r="76" spans="1:14" x14ac:dyDescent="0.25">
      <c r="A76" s="25"/>
      <c r="B76" s="21"/>
      <c r="C76" s="21"/>
      <c r="D76" s="21"/>
      <c r="E76" s="22"/>
      <c r="H76" s="14">
        <f t="shared" si="3"/>
        <v>0</v>
      </c>
      <c r="I76" s="26"/>
      <c r="J76" s="26"/>
      <c r="K76" s="26"/>
      <c r="L76" s="26"/>
      <c r="M76" s="26"/>
      <c r="N76" s="26"/>
    </row>
    <row r="77" spans="1:14" x14ac:dyDescent="0.25">
      <c r="A77" s="25"/>
      <c r="B77" s="21"/>
      <c r="C77" s="21"/>
      <c r="D77" s="21"/>
      <c r="E77" s="22"/>
      <c r="H77" s="14">
        <f t="shared" si="3"/>
        <v>0</v>
      </c>
      <c r="I77" s="26"/>
      <c r="J77" s="26"/>
      <c r="K77" s="26"/>
      <c r="L77" s="26"/>
      <c r="M77" s="26"/>
      <c r="N77" s="26"/>
    </row>
    <row r="78" spans="1:14" x14ac:dyDescent="0.25">
      <c r="A78" s="25"/>
      <c r="B78" s="21"/>
      <c r="C78" s="21"/>
      <c r="D78" s="21"/>
      <c r="E78" s="22"/>
      <c r="H78" s="14">
        <f t="shared" si="3"/>
        <v>0</v>
      </c>
      <c r="I78" s="26"/>
      <c r="J78" s="26"/>
      <c r="K78" s="26"/>
      <c r="L78" s="26"/>
      <c r="M78" s="26"/>
      <c r="N78" s="26"/>
    </row>
    <row r="79" spans="1:14" x14ac:dyDescent="0.25">
      <c r="A79" s="25"/>
      <c r="B79" s="21"/>
      <c r="C79" s="21"/>
      <c r="D79" s="21"/>
      <c r="E79" s="22"/>
      <c r="H79" s="14">
        <f t="shared" si="3"/>
        <v>0</v>
      </c>
      <c r="I79" s="26"/>
      <c r="J79" s="26"/>
      <c r="K79" s="26"/>
      <c r="L79" s="26"/>
      <c r="M79" s="26"/>
      <c r="N79" s="26"/>
    </row>
    <row r="80" spans="1:14" x14ac:dyDescent="0.25">
      <c r="A80" s="25"/>
      <c r="B80" s="21"/>
      <c r="C80" s="21"/>
      <c r="D80" s="21"/>
      <c r="E80" s="22"/>
      <c r="H80" s="14">
        <f t="shared" si="3"/>
        <v>0</v>
      </c>
      <c r="I80" s="26"/>
      <c r="J80" s="26"/>
      <c r="K80" s="26"/>
      <c r="L80" s="26"/>
      <c r="M80" s="26"/>
      <c r="N80" s="26"/>
    </row>
    <row r="81" spans="1:14" x14ac:dyDescent="0.25">
      <c r="A81" s="25"/>
      <c r="B81" s="21"/>
      <c r="C81" s="21"/>
      <c r="D81" s="21"/>
      <c r="E81" s="22"/>
      <c r="H81" s="14">
        <f t="shared" si="3"/>
        <v>0</v>
      </c>
      <c r="I81" s="26"/>
      <c r="J81" s="26"/>
      <c r="K81" s="26"/>
      <c r="L81" s="26"/>
      <c r="M81" s="26"/>
      <c r="N81" s="26"/>
    </row>
    <row r="82" spans="1:14" x14ac:dyDescent="0.25">
      <c r="A82" s="25"/>
      <c r="B82" s="21"/>
      <c r="C82" s="21"/>
      <c r="D82" s="21"/>
      <c r="E82" s="22"/>
      <c r="H82" s="14">
        <f t="shared" si="3"/>
        <v>0</v>
      </c>
      <c r="I82" s="26"/>
      <c r="J82" s="26"/>
      <c r="K82" s="26"/>
      <c r="L82" s="26"/>
      <c r="M82" s="26"/>
      <c r="N82" s="26"/>
    </row>
    <row r="83" spans="1:14" x14ac:dyDescent="0.25">
      <c r="A83" s="25"/>
      <c r="B83" s="21"/>
      <c r="C83" s="21"/>
      <c r="D83" s="21"/>
      <c r="E83" s="22"/>
      <c r="H83" s="14">
        <f t="shared" si="3"/>
        <v>0</v>
      </c>
      <c r="I83" s="26"/>
      <c r="J83" s="26"/>
      <c r="K83" s="26"/>
      <c r="L83" s="26"/>
      <c r="M83" s="26"/>
      <c r="N83" s="26"/>
    </row>
    <row r="84" spans="1:14" x14ac:dyDescent="0.25">
      <c r="A84" s="25"/>
      <c r="B84" s="21"/>
      <c r="C84" s="21"/>
      <c r="D84" s="21"/>
      <c r="E84" s="22"/>
      <c r="H84" s="14">
        <f t="shared" si="3"/>
        <v>0</v>
      </c>
      <c r="I84" s="26"/>
      <c r="J84" s="26"/>
      <c r="K84" s="26"/>
      <c r="L84" s="26"/>
      <c r="M84" s="26"/>
      <c r="N84" s="26"/>
    </row>
    <row r="85" spans="1:14" x14ac:dyDescent="0.25">
      <c r="A85" s="25"/>
      <c r="B85" s="21"/>
      <c r="C85" s="21"/>
      <c r="D85" s="21"/>
      <c r="E85" s="22"/>
      <c r="H85" s="14">
        <f t="shared" si="3"/>
        <v>0</v>
      </c>
      <c r="I85" s="26"/>
      <c r="J85" s="26"/>
      <c r="K85" s="26"/>
      <c r="L85" s="26"/>
      <c r="M85" s="26"/>
      <c r="N85" s="26"/>
    </row>
    <row r="86" spans="1:14" x14ac:dyDescent="0.25">
      <c r="A86" s="25"/>
      <c r="B86" s="21"/>
      <c r="C86" s="21"/>
      <c r="D86" s="21"/>
      <c r="E86" s="22"/>
      <c r="H86" s="14">
        <f t="shared" si="3"/>
        <v>0</v>
      </c>
      <c r="I86" s="26"/>
      <c r="J86" s="26"/>
      <c r="K86" s="26"/>
      <c r="L86" s="26"/>
      <c r="M86" s="26"/>
      <c r="N86" s="26"/>
    </row>
    <row r="87" spans="1:14" x14ac:dyDescent="0.25">
      <c r="A87" s="25"/>
      <c r="B87" s="21"/>
      <c r="C87" s="21"/>
      <c r="D87" s="21"/>
      <c r="E87" s="22"/>
      <c r="H87" s="14">
        <f t="shared" si="3"/>
        <v>0</v>
      </c>
      <c r="I87" s="26"/>
      <c r="J87" s="26"/>
      <c r="K87" s="26"/>
      <c r="L87" s="26"/>
      <c r="M87" s="26"/>
      <c r="N87" s="26"/>
    </row>
    <row r="88" spans="1:14" x14ac:dyDescent="0.25">
      <c r="A88" s="25"/>
      <c r="B88" s="21"/>
      <c r="C88" s="21"/>
      <c r="D88" s="21"/>
      <c r="E88" s="22"/>
      <c r="H88" s="14">
        <f t="shared" si="3"/>
        <v>0</v>
      </c>
      <c r="I88" s="26"/>
      <c r="J88" s="26"/>
      <c r="K88" s="26"/>
      <c r="L88" s="26"/>
      <c r="M88" s="26"/>
      <c r="N88" s="26"/>
    </row>
    <row r="89" spans="1:14" x14ac:dyDescent="0.25">
      <c r="A89" s="25"/>
      <c r="B89" s="21"/>
      <c r="C89" s="21"/>
      <c r="D89" s="21"/>
      <c r="E89" s="22"/>
      <c r="H89" s="14">
        <f t="shared" si="3"/>
        <v>0</v>
      </c>
      <c r="I89" s="26"/>
      <c r="J89" s="26"/>
      <c r="K89" s="26"/>
      <c r="L89" s="26"/>
      <c r="M89" s="26"/>
      <c r="N89" s="26"/>
    </row>
    <row r="90" spans="1:14" x14ac:dyDescent="0.25">
      <c r="A90" s="25"/>
      <c r="B90" s="21"/>
      <c r="C90" s="21"/>
      <c r="D90" s="21"/>
      <c r="E90" s="22"/>
      <c r="H90" s="14">
        <f t="shared" si="3"/>
        <v>0</v>
      </c>
      <c r="I90" s="26"/>
      <c r="J90" s="26"/>
      <c r="K90" s="26"/>
      <c r="L90" s="26"/>
      <c r="M90" s="26"/>
      <c r="N90" s="26"/>
    </row>
    <row r="91" spans="1:14" x14ac:dyDescent="0.25">
      <c r="A91" s="25"/>
      <c r="B91" s="21"/>
      <c r="C91" s="21"/>
      <c r="D91" s="21"/>
      <c r="E91" s="22"/>
      <c r="H91" s="14">
        <f t="shared" si="3"/>
        <v>0</v>
      </c>
      <c r="I91" s="26"/>
      <c r="J91" s="26"/>
      <c r="K91" s="26"/>
      <c r="L91" s="26"/>
      <c r="M91" s="26"/>
      <c r="N91" s="26"/>
    </row>
    <row r="92" spans="1:14" x14ac:dyDescent="0.25">
      <c r="A92" s="25"/>
      <c r="B92" s="21"/>
      <c r="C92" s="21"/>
      <c r="D92" s="21"/>
      <c r="E92" s="22"/>
      <c r="H92" s="14">
        <f t="shared" si="3"/>
        <v>0</v>
      </c>
      <c r="I92" s="26"/>
      <c r="J92" s="26"/>
      <c r="K92" s="26"/>
      <c r="L92" s="26"/>
      <c r="M92" s="26"/>
      <c r="N92" s="26"/>
    </row>
    <row r="93" spans="1:14" x14ac:dyDescent="0.25">
      <c r="A93" s="25"/>
      <c r="B93" s="21"/>
      <c r="C93" s="21"/>
      <c r="D93" s="21"/>
      <c r="E93" s="22"/>
      <c r="H93" s="14">
        <f t="shared" si="3"/>
        <v>0</v>
      </c>
      <c r="I93" s="26"/>
      <c r="J93" s="26"/>
      <c r="K93" s="26"/>
      <c r="L93" s="26"/>
      <c r="M93" s="26"/>
      <c r="N93" s="26"/>
    </row>
    <row r="94" spans="1:14" x14ac:dyDescent="0.25">
      <c r="A94" s="25"/>
      <c r="B94" s="21"/>
      <c r="C94" s="21"/>
      <c r="D94" s="21"/>
      <c r="E94" s="22"/>
      <c r="H94" s="14">
        <f t="shared" si="3"/>
        <v>0</v>
      </c>
      <c r="I94" s="26"/>
      <c r="J94" s="26"/>
      <c r="K94" s="26"/>
      <c r="L94" s="26"/>
      <c r="M94" s="26"/>
      <c r="N94" s="26"/>
    </row>
    <row r="95" spans="1:14" x14ac:dyDescent="0.25">
      <c r="A95" s="25"/>
      <c r="B95" s="21"/>
      <c r="C95" s="21"/>
      <c r="D95" s="21"/>
      <c r="E95" s="22"/>
      <c r="H95" s="14">
        <f t="shared" si="3"/>
        <v>0</v>
      </c>
      <c r="I95" s="26"/>
      <c r="J95" s="26"/>
      <c r="K95" s="26"/>
      <c r="L95" s="26"/>
      <c r="M95" s="26"/>
      <c r="N95" s="26"/>
    </row>
    <row r="96" spans="1:14" x14ac:dyDescent="0.25">
      <c r="A96" s="25"/>
      <c r="B96" s="21"/>
      <c r="C96" s="21"/>
      <c r="D96" s="21"/>
      <c r="E96" s="22"/>
      <c r="H96" s="14">
        <f t="shared" si="3"/>
        <v>0</v>
      </c>
      <c r="I96" s="26"/>
      <c r="J96" s="26"/>
      <c r="K96" s="26"/>
      <c r="L96" s="26"/>
      <c r="M96" s="26"/>
      <c r="N96" s="26"/>
    </row>
    <row r="97" spans="1:14" x14ac:dyDescent="0.25">
      <c r="A97" s="25"/>
      <c r="B97" s="21"/>
      <c r="C97" s="21"/>
      <c r="D97" s="21"/>
      <c r="E97" s="22"/>
      <c r="H97" s="14">
        <f t="shared" si="3"/>
        <v>0</v>
      </c>
      <c r="I97" s="26"/>
      <c r="J97" s="26"/>
      <c r="K97" s="26"/>
      <c r="L97" s="26"/>
      <c r="M97" s="26"/>
      <c r="N97" s="26"/>
    </row>
    <row r="98" spans="1:14" x14ac:dyDescent="0.25">
      <c r="A98" s="25"/>
      <c r="B98" s="21"/>
      <c r="C98" s="21"/>
      <c r="D98" s="21"/>
      <c r="E98" s="22"/>
      <c r="H98" s="14">
        <f t="shared" si="3"/>
        <v>0</v>
      </c>
      <c r="I98" s="26"/>
      <c r="J98" s="26"/>
      <c r="K98" s="26"/>
      <c r="L98" s="26"/>
      <c r="M98" s="26"/>
      <c r="N98" s="26"/>
    </row>
    <row r="99" spans="1:14" x14ac:dyDescent="0.25">
      <c r="A99" s="25"/>
      <c r="B99" s="21"/>
      <c r="C99" s="21"/>
      <c r="D99" s="21"/>
      <c r="E99" s="22"/>
      <c r="H99" s="14">
        <f t="shared" si="3"/>
        <v>0</v>
      </c>
      <c r="I99" s="26"/>
      <c r="J99" s="26"/>
      <c r="K99" s="26"/>
      <c r="L99" s="26"/>
      <c r="M99" s="26"/>
      <c r="N99" s="26"/>
    </row>
    <row r="100" spans="1:14" x14ac:dyDescent="0.25">
      <c r="A100" s="25"/>
      <c r="B100" s="21"/>
      <c r="C100" s="21"/>
      <c r="D100" s="21"/>
      <c r="E100" s="22"/>
      <c r="H100" s="14">
        <f t="shared" si="3"/>
        <v>0</v>
      </c>
      <c r="I100" s="26"/>
      <c r="J100" s="26"/>
      <c r="K100" s="26"/>
      <c r="L100" s="26"/>
      <c r="M100" s="26"/>
      <c r="N100" s="26"/>
    </row>
    <row r="101" spans="1:14" x14ac:dyDescent="0.25">
      <c r="A101" s="25"/>
      <c r="B101" s="21"/>
      <c r="C101" s="21"/>
      <c r="D101" s="21"/>
      <c r="E101" s="22"/>
      <c r="H101" s="14">
        <f t="shared" si="3"/>
        <v>0</v>
      </c>
      <c r="I101" s="26"/>
      <c r="J101" s="26"/>
      <c r="K101" s="26"/>
      <c r="L101" s="26"/>
      <c r="M101" s="26"/>
      <c r="N101" s="26"/>
    </row>
    <row r="102" spans="1:14" x14ac:dyDescent="0.25">
      <c r="A102" s="25"/>
      <c r="B102" s="21"/>
      <c r="C102" s="21"/>
      <c r="D102" s="21"/>
      <c r="E102" s="22"/>
      <c r="H102" s="14">
        <f t="shared" si="3"/>
        <v>0</v>
      </c>
      <c r="I102" s="26"/>
      <c r="J102" s="26"/>
      <c r="K102" s="26"/>
      <c r="L102" s="26"/>
      <c r="M102" s="26"/>
      <c r="N102" s="26"/>
    </row>
    <row r="103" spans="1:14" x14ac:dyDescent="0.25">
      <c r="A103" s="25"/>
      <c r="B103" s="21"/>
      <c r="C103" s="21"/>
      <c r="D103" s="21"/>
      <c r="E103" s="22"/>
      <c r="H103" s="14">
        <f t="shared" si="3"/>
        <v>0</v>
      </c>
      <c r="I103" s="26"/>
      <c r="J103" s="26"/>
      <c r="K103" s="26"/>
      <c r="L103" s="26"/>
      <c r="M103" s="26"/>
      <c r="N103" s="26"/>
    </row>
    <row r="104" spans="1:14" x14ac:dyDescent="0.25">
      <c r="A104" s="25"/>
      <c r="B104" s="21"/>
      <c r="C104" s="21"/>
      <c r="D104" s="21"/>
      <c r="E104" s="22"/>
      <c r="H104" s="14">
        <f t="shared" si="3"/>
        <v>0</v>
      </c>
      <c r="I104" s="26"/>
      <c r="J104" s="26"/>
      <c r="K104" s="26"/>
      <c r="L104" s="26"/>
      <c r="M104" s="26"/>
      <c r="N104" s="26"/>
    </row>
    <row r="105" spans="1:14" x14ac:dyDescent="0.25">
      <c r="A105" s="25"/>
      <c r="B105" s="21"/>
      <c r="C105" s="21"/>
      <c r="D105" s="21"/>
      <c r="E105" s="22"/>
      <c r="H105" s="14">
        <f t="shared" si="3"/>
        <v>0</v>
      </c>
      <c r="I105" s="26"/>
      <c r="J105" s="26"/>
      <c r="K105" s="26"/>
      <c r="L105" s="26"/>
      <c r="M105" s="26"/>
      <c r="N105" s="26"/>
    </row>
    <row r="106" spans="1:14" x14ac:dyDescent="0.25">
      <c r="A106" s="25"/>
      <c r="B106" s="21"/>
      <c r="C106" s="21"/>
      <c r="D106" s="21"/>
      <c r="E106" s="22"/>
      <c r="H106" s="14">
        <f t="shared" si="3"/>
        <v>0</v>
      </c>
      <c r="I106" s="26"/>
      <c r="J106" s="26"/>
      <c r="K106" s="26"/>
      <c r="L106" s="26"/>
      <c r="M106" s="26"/>
      <c r="N106" s="26"/>
    </row>
    <row r="107" spans="1:14" x14ac:dyDescent="0.25">
      <c r="A107" s="25"/>
      <c r="B107" s="21"/>
      <c r="C107" s="21"/>
      <c r="D107" s="21"/>
      <c r="E107" s="22"/>
      <c r="H107" s="14">
        <f t="shared" si="3"/>
        <v>0</v>
      </c>
      <c r="I107" s="26"/>
      <c r="J107" s="26"/>
      <c r="K107" s="26"/>
      <c r="L107" s="26"/>
      <c r="M107" s="26"/>
      <c r="N107" s="26"/>
    </row>
    <row r="108" spans="1:14" x14ac:dyDescent="0.25">
      <c r="A108" s="25"/>
      <c r="B108" s="21"/>
      <c r="C108" s="21"/>
      <c r="D108" s="21"/>
      <c r="E108" s="22"/>
      <c r="H108" s="14">
        <f t="shared" si="3"/>
        <v>0</v>
      </c>
      <c r="I108" s="26"/>
      <c r="J108" s="26"/>
      <c r="K108" s="26"/>
      <c r="L108" s="26"/>
      <c r="M108" s="26"/>
      <c r="N108" s="26"/>
    </row>
    <row r="109" spans="1:14" x14ac:dyDescent="0.25">
      <c r="A109" s="25"/>
      <c r="B109" s="21"/>
      <c r="C109" s="21"/>
      <c r="D109" s="21"/>
      <c r="E109" s="22"/>
      <c r="H109" s="14">
        <f t="shared" si="3"/>
        <v>0</v>
      </c>
      <c r="I109" s="26"/>
      <c r="J109" s="26"/>
      <c r="K109" s="26"/>
      <c r="L109" s="26"/>
      <c r="M109" s="26"/>
      <c r="N109" s="26"/>
    </row>
    <row r="110" spans="1:14" x14ac:dyDescent="0.25">
      <c r="A110" s="25"/>
      <c r="B110" s="21"/>
      <c r="C110" s="21"/>
      <c r="D110" s="21"/>
      <c r="E110" s="22"/>
      <c r="H110" s="14">
        <f t="shared" si="3"/>
        <v>0</v>
      </c>
      <c r="I110" s="26"/>
      <c r="J110" s="26"/>
      <c r="K110" s="26"/>
      <c r="L110" s="26"/>
      <c r="M110" s="26"/>
      <c r="N110" s="26"/>
    </row>
    <row r="111" spans="1:14" x14ac:dyDescent="0.25">
      <c r="A111" s="25"/>
      <c r="B111" s="21"/>
      <c r="C111" s="21"/>
      <c r="D111" s="21"/>
      <c r="E111" s="22"/>
      <c r="H111" s="14">
        <f t="shared" si="3"/>
        <v>0</v>
      </c>
      <c r="I111" s="26"/>
      <c r="J111" s="26"/>
      <c r="K111" s="26"/>
      <c r="L111" s="26"/>
      <c r="M111" s="26"/>
      <c r="N111" s="26"/>
    </row>
    <row r="112" spans="1:14" x14ac:dyDescent="0.25">
      <c r="A112" s="25"/>
      <c r="B112" s="21"/>
      <c r="C112" s="21"/>
      <c r="D112" s="21"/>
      <c r="E112" s="22"/>
      <c r="H112" s="14">
        <f t="shared" si="3"/>
        <v>0</v>
      </c>
      <c r="I112" s="26"/>
      <c r="J112" s="26"/>
      <c r="K112" s="26"/>
      <c r="L112" s="26"/>
      <c r="M112" s="26"/>
      <c r="N112" s="26"/>
    </row>
    <row r="113" spans="1:14" x14ac:dyDescent="0.25">
      <c r="A113" s="25"/>
      <c r="B113" s="21"/>
      <c r="C113" s="21"/>
      <c r="D113" s="21"/>
      <c r="E113" s="22"/>
      <c r="H113" s="14">
        <f t="shared" si="3"/>
        <v>0</v>
      </c>
      <c r="I113" s="26"/>
      <c r="J113" s="26"/>
      <c r="K113" s="26"/>
      <c r="L113" s="26"/>
      <c r="M113" s="26"/>
      <c r="N113" s="26"/>
    </row>
    <row r="114" spans="1:14" x14ac:dyDescent="0.25">
      <c r="A114" s="25"/>
      <c r="B114" s="21"/>
      <c r="C114" s="21"/>
      <c r="D114" s="21"/>
      <c r="E114" s="22"/>
      <c r="H114" s="14">
        <f t="shared" si="3"/>
        <v>0</v>
      </c>
      <c r="I114" s="26"/>
      <c r="J114" s="26"/>
      <c r="K114" s="26"/>
      <c r="L114" s="26"/>
      <c r="M114" s="26"/>
      <c r="N114" s="26"/>
    </row>
    <row r="115" spans="1:14" x14ac:dyDescent="0.25">
      <c r="A115" s="25"/>
      <c r="B115" s="21"/>
      <c r="C115" s="21"/>
      <c r="D115" s="21"/>
      <c r="E115" s="22"/>
      <c r="H115" s="14">
        <f t="shared" si="3"/>
        <v>0</v>
      </c>
      <c r="I115" s="26"/>
      <c r="J115" s="26"/>
      <c r="K115" s="26"/>
      <c r="L115" s="26"/>
      <c r="M115" s="26"/>
      <c r="N115" s="26"/>
    </row>
    <row r="116" spans="1:14" x14ac:dyDescent="0.25">
      <c r="A116" s="25"/>
      <c r="B116" s="21"/>
      <c r="C116" s="21"/>
      <c r="D116" s="21"/>
      <c r="E116" s="22"/>
      <c r="H116" s="14">
        <f t="shared" si="3"/>
        <v>0</v>
      </c>
      <c r="I116" s="26"/>
      <c r="J116" s="26"/>
      <c r="K116" s="26"/>
      <c r="L116" s="26"/>
      <c r="M116" s="26"/>
      <c r="N116" s="26"/>
    </row>
    <row r="117" spans="1:14" x14ac:dyDescent="0.25">
      <c r="A117" s="25"/>
      <c r="B117" s="21"/>
      <c r="C117" s="21"/>
      <c r="D117" s="21"/>
      <c r="E117" s="22"/>
      <c r="H117" s="14">
        <f t="shared" si="3"/>
        <v>0</v>
      </c>
      <c r="I117" s="26"/>
      <c r="J117" s="26"/>
      <c r="K117" s="26"/>
      <c r="L117" s="26"/>
      <c r="M117" s="26"/>
      <c r="N117" s="26"/>
    </row>
    <row r="118" spans="1:14" x14ac:dyDescent="0.25">
      <c r="A118" s="25"/>
      <c r="B118" s="21"/>
      <c r="C118" s="21"/>
      <c r="D118" s="21"/>
      <c r="E118" s="22"/>
      <c r="H118" s="14">
        <f t="shared" si="3"/>
        <v>0</v>
      </c>
      <c r="I118" s="26"/>
      <c r="J118" s="26"/>
      <c r="K118" s="26"/>
      <c r="L118" s="26"/>
      <c r="M118" s="26"/>
      <c r="N118" s="26"/>
    </row>
    <row r="119" spans="1:14" x14ac:dyDescent="0.25">
      <c r="A119" s="25"/>
      <c r="B119" s="21"/>
      <c r="C119" s="21"/>
      <c r="D119" s="21"/>
      <c r="E119" s="22"/>
      <c r="H119" s="14">
        <f t="shared" si="3"/>
        <v>0</v>
      </c>
      <c r="I119" s="26"/>
      <c r="J119" s="26"/>
      <c r="K119" s="26"/>
      <c r="L119" s="26"/>
      <c r="M119" s="26"/>
      <c r="N119" s="26"/>
    </row>
    <row r="120" spans="1:14" x14ac:dyDescent="0.25">
      <c r="A120" s="25"/>
      <c r="B120" s="21"/>
      <c r="C120" s="21"/>
      <c r="D120" s="21"/>
      <c r="E120" s="22"/>
      <c r="H120" s="14">
        <f t="shared" si="3"/>
        <v>0</v>
      </c>
      <c r="I120" s="26"/>
      <c r="J120" s="26"/>
      <c r="K120" s="26"/>
      <c r="L120" s="26"/>
      <c r="M120" s="26"/>
      <c r="N120" s="26"/>
    </row>
    <row r="121" spans="1:14" x14ac:dyDescent="0.25">
      <c r="A121" s="25"/>
      <c r="B121" s="21"/>
      <c r="C121" s="21"/>
      <c r="D121" s="21"/>
      <c r="E121" s="22"/>
      <c r="H121" s="14">
        <f t="shared" si="3"/>
        <v>0</v>
      </c>
      <c r="I121" s="26"/>
      <c r="J121" s="26"/>
      <c r="K121" s="26"/>
      <c r="L121" s="26"/>
      <c r="M121" s="26"/>
      <c r="N121" s="26"/>
    </row>
    <row r="122" spans="1:14" x14ac:dyDescent="0.25">
      <c r="A122" s="25"/>
      <c r="B122" s="21"/>
      <c r="C122" s="21"/>
      <c r="D122" s="21"/>
      <c r="E122" s="22"/>
      <c r="H122" s="14">
        <f t="shared" si="3"/>
        <v>0</v>
      </c>
      <c r="I122" s="26"/>
      <c r="J122" s="26"/>
      <c r="K122" s="26"/>
      <c r="L122" s="26"/>
      <c r="M122" s="26"/>
      <c r="N122" s="26"/>
    </row>
    <row r="123" spans="1:14" x14ac:dyDescent="0.25">
      <c r="A123" s="25"/>
      <c r="B123" s="21"/>
      <c r="C123" s="21"/>
      <c r="D123" s="21"/>
      <c r="E123" s="22"/>
      <c r="H123" s="14">
        <f t="shared" si="3"/>
        <v>0</v>
      </c>
      <c r="I123" s="26"/>
      <c r="J123" s="26"/>
      <c r="K123" s="26"/>
      <c r="L123" s="26"/>
      <c r="M123" s="26"/>
      <c r="N123" s="26"/>
    </row>
    <row r="124" spans="1:14" x14ac:dyDescent="0.25">
      <c r="A124" s="25"/>
      <c r="B124" s="21"/>
      <c r="C124" s="21"/>
      <c r="D124" s="21"/>
      <c r="E124" s="22"/>
      <c r="H124" s="14">
        <f t="shared" si="3"/>
        <v>0</v>
      </c>
      <c r="I124" s="26"/>
      <c r="J124" s="26"/>
      <c r="K124" s="26"/>
      <c r="L124" s="26"/>
      <c r="M124" s="26"/>
      <c r="N124" s="26"/>
    </row>
    <row r="125" spans="1:14" x14ac:dyDescent="0.25">
      <c r="A125" s="25"/>
      <c r="B125" s="21"/>
      <c r="C125" s="21"/>
      <c r="D125" s="21"/>
      <c r="E125" s="22"/>
      <c r="H125" s="14">
        <f t="shared" si="3"/>
        <v>0</v>
      </c>
      <c r="I125" s="26"/>
      <c r="J125" s="26"/>
      <c r="K125" s="26"/>
      <c r="L125" s="26"/>
      <c r="M125" s="26"/>
      <c r="N125" s="26"/>
    </row>
    <row r="126" spans="1:14" x14ac:dyDescent="0.25">
      <c r="A126" s="25"/>
      <c r="B126" s="21"/>
      <c r="C126" s="21"/>
      <c r="D126" s="21"/>
      <c r="E126" s="22"/>
      <c r="H126" s="14">
        <f t="shared" si="3"/>
        <v>0</v>
      </c>
      <c r="I126" s="26"/>
      <c r="J126" s="26"/>
      <c r="K126" s="26"/>
      <c r="L126" s="26"/>
      <c r="M126" s="26"/>
      <c r="N126" s="26"/>
    </row>
    <row r="127" spans="1:14" x14ac:dyDescent="0.25">
      <c r="A127" s="25"/>
      <c r="B127" s="21"/>
      <c r="C127" s="21"/>
      <c r="D127" s="21"/>
      <c r="E127" s="22"/>
      <c r="H127" s="14">
        <f t="shared" si="3"/>
        <v>0</v>
      </c>
      <c r="I127" s="26"/>
      <c r="J127" s="26"/>
      <c r="K127" s="26"/>
      <c r="L127" s="26"/>
      <c r="M127" s="26"/>
      <c r="N127" s="26"/>
    </row>
    <row r="128" spans="1:14" x14ac:dyDescent="0.25">
      <c r="A128" s="25"/>
      <c r="B128" s="21"/>
      <c r="C128" s="21"/>
      <c r="D128" s="21"/>
      <c r="E128" s="22"/>
      <c r="H128" s="14">
        <f t="shared" si="3"/>
        <v>0</v>
      </c>
      <c r="I128" s="26"/>
      <c r="J128" s="26"/>
      <c r="K128" s="26"/>
      <c r="L128" s="26"/>
      <c r="M128" s="26"/>
      <c r="N128" s="26"/>
    </row>
    <row r="129" spans="1:14" x14ac:dyDescent="0.25">
      <c r="A129" s="25"/>
      <c r="B129" s="21"/>
      <c r="C129" s="21"/>
      <c r="D129" s="21"/>
      <c r="E129" s="22"/>
      <c r="H129" s="14">
        <f t="shared" si="3"/>
        <v>0</v>
      </c>
      <c r="I129" s="26"/>
      <c r="J129" s="26"/>
      <c r="K129" s="26"/>
      <c r="L129" s="26"/>
      <c r="M129" s="26"/>
      <c r="N129" s="26"/>
    </row>
    <row r="130" spans="1:14" x14ac:dyDescent="0.25">
      <c r="A130" s="25"/>
      <c r="B130" s="21"/>
      <c r="C130" s="21"/>
      <c r="D130" s="21"/>
      <c r="E130" s="22"/>
      <c r="H130" s="14">
        <f t="shared" si="3"/>
        <v>0</v>
      </c>
      <c r="I130" s="26"/>
      <c r="J130" s="26"/>
      <c r="K130" s="26"/>
      <c r="L130" s="26"/>
      <c r="M130" s="26"/>
      <c r="N130" s="26"/>
    </row>
    <row r="131" spans="1:14" x14ac:dyDescent="0.25">
      <c r="A131" s="25"/>
      <c r="B131" s="21"/>
      <c r="C131" s="21"/>
      <c r="D131" s="21"/>
      <c r="E131" s="22"/>
      <c r="H131" s="14">
        <f t="shared" si="3"/>
        <v>0</v>
      </c>
      <c r="I131" s="26"/>
      <c r="J131" s="26"/>
      <c r="K131" s="26"/>
      <c r="L131" s="26"/>
      <c r="M131" s="26"/>
      <c r="N131" s="26"/>
    </row>
    <row r="132" spans="1:14" x14ac:dyDescent="0.25">
      <c r="A132" s="25"/>
      <c r="B132" s="21"/>
      <c r="C132" s="21"/>
      <c r="D132" s="21"/>
      <c r="E132" s="22"/>
      <c r="H132" s="14">
        <f t="shared" si="3"/>
        <v>0</v>
      </c>
      <c r="I132" s="26"/>
      <c r="J132" s="26"/>
      <c r="K132" s="26"/>
      <c r="L132" s="26"/>
      <c r="M132" s="26"/>
      <c r="N132" s="26"/>
    </row>
    <row r="133" spans="1:14" x14ac:dyDescent="0.25">
      <c r="A133" s="25"/>
      <c r="B133" s="21"/>
      <c r="C133" s="21"/>
      <c r="D133" s="21"/>
      <c r="E133" s="22"/>
      <c r="H133" s="14">
        <f t="shared" si="3"/>
        <v>0</v>
      </c>
      <c r="I133" s="26"/>
      <c r="J133" s="26"/>
      <c r="K133" s="26"/>
      <c r="L133" s="26"/>
      <c r="M133" s="26"/>
      <c r="N133" s="26"/>
    </row>
    <row r="134" spans="1:14" x14ac:dyDescent="0.25">
      <c r="A134" s="25"/>
      <c r="B134" s="21"/>
      <c r="C134" s="21"/>
      <c r="D134" s="21"/>
      <c r="E134" s="22"/>
      <c r="H134" s="14">
        <f t="shared" ref="H134:H197" si="4">IF(ISNUMBER(SEARCH("__PARAM0__",G134)),SUBSTITUTE(G134,"__PARAM0__","XYZ"),IF(ISNUMBER(SEARCH("__PARAM1__",G134)),SUBSTITUTE(G134,"__PARAM1__","ZYX"),G134))</f>
        <v>0</v>
      </c>
      <c r="I134" s="26"/>
      <c r="J134" s="26"/>
      <c r="K134" s="26"/>
      <c r="L134" s="26"/>
      <c r="M134" s="26"/>
      <c r="N134" s="26"/>
    </row>
    <row r="135" spans="1:14" x14ac:dyDescent="0.25">
      <c r="A135" s="25"/>
      <c r="B135" s="21"/>
      <c r="C135" s="21"/>
      <c r="D135" s="21"/>
      <c r="E135" s="22"/>
      <c r="H135" s="14">
        <f t="shared" si="4"/>
        <v>0</v>
      </c>
      <c r="I135" s="26"/>
      <c r="J135" s="26"/>
      <c r="K135" s="26"/>
      <c r="L135" s="26"/>
      <c r="M135" s="26"/>
      <c r="N135" s="26"/>
    </row>
    <row r="136" spans="1:14" x14ac:dyDescent="0.25">
      <c r="A136" s="25"/>
      <c r="B136" s="21"/>
      <c r="C136" s="21"/>
      <c r="D136" s="21"/>
      <c r="E136" s="22"/>
      <c r="H136" s="14">
        <f t="shared" si="4"/>
        <v>0</v>
      </c>
      <c r="I136" s="26"/>
      <c r="J136" s="26"/>
      <c r="K136" s="26"/>
      <c r="L136" s="26"/>
      <c r="M136" s="26"/>
      <c r="N136" s="26"/>
    </row>
    <row r="137" spans="1:14" x14ac:dyDescent="0.25">
      <c r="A137" s="25"/>
      <c r="B137" s="21"/>
      <c r="C137" s="21"/>
      <c r="D137" s="21"/>
      <c r="E137" s="22"/>
      <c r="H137" s="14">
        <f t="shared" si="4"/>
        <v>0</v>
      </c>
      <c r="I137" s="26"/>
      <c r="J137" s="26"/>
      <c r="K137" s="26"/>
      <c r="L137" s="26"/>
      <c r="M137" s="26"/>
      <c r="N137" s="26"/>
    </row>
    <row r="138" spans="1:14" x14ac:dyDescent="0.25">
      <c r="A138" s="25"/>
      <c r="B138" s="21"/>
      <c r="C138" s="21"/>
      <c r="D138" s="21"/>
      <c r="E138" s="22"/>
      <c r="H138" s="14">
        <f t="shared" si="4"/>
        <v>0</v>
      </c>
      <c r="I138" s="26"/>
      <c r="J138" s="26"/>
      <c r="K138" s="26"/>
      <c r="L138" s="26"/>
      <c r="M138" s="26"/>
      <c r="N138" s="26"/>
    </row>
    <row r="139" spans="1:14" x14ac:dyDescent="0.25">
      <c r="A139" s="25"/>
      <c r="B139" s="21"/>
      <c r="C139" s="21"/>
      <c r="D139" s="21"/>
      <c r="E139" s="22"/>
      <c r="H139" s="14">
        <f t="shared" si="4"/>
        <v>0</v>
      </c>
      <c r="I139" s="26"/>
      <c r="J139" s="26"/>
      <c r="K139" s="26"/>
      <c r="L139" s="26"/>
      <c r="M139" s="26"/>
      <c r="N139" s="26"/>
    </row>
    <row r="140" spans="1:14" x14ac:dyDescent="0.25">
      <c r="A140" s="25"/>
      <c r="B140" s="21"/>
      <c r="C140" s="21"/>
      <c r="D140" s="21"/>
      <c r="E140" s="22"/>
      <c r="H140" s="14">
        <f t="shared" si="4"/>
        <v>0</v>
      </c>
      <c r="I140" s="26"/>
      <c r="J140" s="26"/>
      <c r="K140" s="26"/>
      <c r="L140" s="26"/>
      <c r="M140" s="26"/>
      <c r="N140" s="26"/>
    </row>
    <row r="141" spans="1:14" x14ac:dyDescent="0.25">
      <c r="A141" s="25"/>
      <c r="B141" s="21"/>
      <c r="C141" s="21"/>
      <c r="D141" s="21"/>
      <c r="E141" s="22"/>
      <c r="H141" s="14">
        <f t="shared" si="4"/>
        <v>0</v>
      </c>
      <c r="I141" s="26"/>
      <c r="J141" s="26"/>
      <c r="K141" s="26"/>
      <c r="L141" s="26"/>
      <c r="M141" s="26"/>
      <c r="N141" s="26"/>
    </row>
    <row r="142" spans="1:14" x14ac:dyDescent="0.25">
      <c r="A142" s="25"/>
      <c r="B142" s="21"/>
      <c r="C142" s="21"/>
      <c r="D142" s="21"/>
      <c r="E142" s="22"/>
      <c r="H142" s="14">
        <f t="shared" si="4"/>
        <v>0</v>
      </c>
      <c r="I142" s="26"/>
      <c r="J142" s="26"/>
      <c r="K142" s="26"/>
      <c r="L142" s="26"/>
      <c r="M142" s="26"/>
      <c r="N142" s="26"/>
    </row>
    <row r="143" spans="1:14" x14ac:dyDescent="0.25">
      <c r="A143" s="25"/>
      <c r="B143" s="21"/>
      <c r="C143" s="21"/>
      <c r="D143" s="21"/>
      <c r="E143" s="22"/>
      <c r="H143" s="14">
        <f t="shared" si="4"/>
        <v>0</v>
      </c>
      <c r="I143" s="26"/>
      <c r="J143" s="26"/>
      <c r="K143" s="26"/>
      <c r="L143" s="26"/>
      <c r="M143" s="26"/>
      <c r="N143" s="26"/>
    </row>
    <row r="144" spans="1:14" x14ac:dyDescent="0.25">
      <c r="A144" s="25"/>
      <c r="B144" s="21"/>
      <c r="C144" s="21"/>
      <c r="D144" s="21"/>
      <c r="E144" s="22"/>
      <c r="H144" s="14">
        <f t="shared" si="4"/>
        <v>0</v>
      </c>
      <c r="I144" s="26"/>
      <c r="J144" s="26"/>
      <c r="K144" s="26"/>
      <c r="L144" s="26"/>
      <c r="M144" s="26"/>
      <c r="N144" s="26"/>
    </row>
    <row r="145" spans="1:14" x14ac:dyDescent="0.25">
      <c r="A145" s="25"/>
      <c r="B145" s="21"/>
      <c r="C145" s="21"/>
      <c r="D145" s="21"/>
      <c r="E145" s="22"/>
      <c r="H145" s="14">
        <f t="shared" si="4"/>
        <v>0</v>
      </c>
      <c r="I145" s="26"/>
      <c r="J145" s="26"/>
      <c r="K145" s="26"/>
      <c r="L145" s="26"/>
      <c r="M145" s="26"/>
      <c r="N145" s="26"/>
    </row>
    <row r="146" spans="1:14" x14ac:dyDescent="0.25">
      <c r="A146" s="25"/>
      <c r="B146" s="21"/>
      <c r="C146" s="21"/>
      <c r="D146" s="21"/>
      <c r="E146" s="22"/>
      <c r="H146" s="14">
        <f t="shared" si="4"/>
        <v>0</v>
      </c>
      <c r="I146" s="26"/>
      <c r="J146" s="26"/>
      <c r="K146" s="26"/>
      <c r="L146" s="26"/>
      <c r="M146" s="26"/>
      <c r="N146" s="26"/>
    </row>
    <row r="147" spans="1:14" x14ac:dyDescent="0.25">
      <c r="A147" s="25"/>
      <c r="B147" s="21"/>
      <c r="C147" s="21"/>
      <c r="D147" s="21"/>
      <c r="E147" s="22"/>
      <c r="H147" s="14">
        <f t="shared" si="4"/>
        <v>0</v>
      </c>
      <c r="I147" s="26"/>
      <c r="J147" s="26"/>
      <c r="K147" s="26"/>
      <c r="L147" s="26"/>
      <c r="M147" s="26"/>
      <c r="N147" s="26"/>
    </row>
    <row r="148" spans="1:14" x14ac:dyDescent="0.25">
      <c r="A148" s="25"/>
      <c r="B148" s="21"/>
      <c r="C148" s="21"/>
      <c r="D148" s="21"/>
      <c r="E148" s="22"/>
      <c r="H148" s="14">
        <f t="shared" si="4"/>
        <v>0</v>
      </c>
      <c r="I148" s="26"/>
      <c r="J148" s="26"/>
      <c r="K148" s="26"/>
      <c r="L148" s="26"/>
      <c r="M148" s="26"/>
      <c r="N148" s="26"/>
    </row>
    <row r="149" spans="1:14" x14ac:dyDescent="0.25">
      <c r="A149" s="25"/>
      <c r="B149" s="21"/>
      <c r="C149" s="21"/>
      <c r="D149" s="21"/>
      <c r="E149" s="22"/>
      <c r="H149" s="14">
        <f t="shared" si="4"/>
        <v>0</v>
      </c>
      <c r="I149" s="26"/>
      <c r="J149" s="26"/>
      <c r="K149" s="26"/>
      <c r="L149" s="26"/>
      <c r="M149" s="26"/>
      <c r="N149" s="26"/>
    </row>
    <row r="150" spans="1:14" x14ac:dyDescent="0.25">
      <c r="A150" s="25"/>
      <c r="B150" s="21"/>
      <c r="C150" s="21"/>
      <c r="D150" s="21"/>
      <c r="E150" s="22"/>
      <c r="H150" s="14">
        <f t="shared" si="4"/>
        <v>0</v>
      </c>
      <c r="I150" s="26"/>
      <c r="J150" s="26"/>
      <c r="K150" s="26"/>
      <c r="L150" s="26"/>
      <c r="M150" s="26"/>
      <c r="N150" s="26"/>
    </row>
    <row r="151" spans="1:14" x14ac:dyDescent="0.25">
      <c r="A151" s="25"/>
      <c r="B151" s="21"/>
      <c r="C151" s="21"/>
      <c r="D151" s="21"/>
      <c r="E151" s="22"/>
      <c r="H151" s="14">
        <f t="shared" si="4"/>
        <v>0</v>
      </c>
      <c r="I151" s="26"/>
      <c r="J151" s="26"/>
      <c r="K151" s="26"/>
      <c r="L151" s="26"/>
      <c r="M151" s="26"/>
      <c r="N151" s="26"/>
    </row>
    <row r="152" spans="1:14" x14ac:dyDescent="0.25">
      <c r="A152" s="25"/>
      <c r="B152" s="21"/>
      <c r="C152" s="21"/>
      <c r="D152" s="21"/>
      <c r="E152" s="22"/>
      <c r="H152" s="14">
        <f t="shared" si="4"/>
        <v>0</v>
      </c>
      <c r="I152" s="26"/>
      <c r="J152" s="26"/>
      <c r="K152" s="26"/>
      <c r="L152" s="26"/>
      <c r="M152" s="26"/>
      <c r="N152" s="26"/>
    </row>
    <row r="153" spans="1:14" x14ac:dyDescent="0.25">
      <c r="A153" s="25"/>
      <c r="B153" s="21"/>
      <c r="C153" s="21"/>
      <c r="D153" s="21"/>
      <c r="E153" s="22"/>
      <c r="H153" s="14">
        <f t="shared" si="4"/>
        <v>0</v>
      </c>
      <c r="I153" s="26"/>
      <c r="J153" s="26"/>
      <c r="K153" s="26"/>
      <c r="L153" s="26"/>
      <c r="M153" s="26"/>
      <c r="N153" s="26"/>
    </row>
    <row r="154" spans="1:14" x14ac:dyDescent="0.25">
      <c r="A154" s="25"/>
      <c r="B154" s="21"/>
      <c r="C154" s="21"/>
      <c r="D154" s="21"/>
      <c r="E154" s="22"/>
      <c r="H154" s="14">
        <f t="shared" si="4"/>
        <v>0</v>
      </c>
      <c r="I154" s="26"/>
      <c r="J154" s="26"/>
      <c r="K154" s="26"/>
      <c r="L154" s="26"/>
      <c r="M154" s="26"/>
      <c r="N154" s="26"/>
    </row>
    <row r="155" spans="1:14" x14ac:dyDescent="0.25">
      <c r="A155" s="25"/>
      <c r="B155" s="21"/>
      <c r="C155" s="21"/>
      <c r="D155" s="21"/>
      <c r="E155" s="22"/>
      <c r="H155" s="14">
        <f t="shared" si="4"/>
        <v>0</v>
      </c>
      <c r="I155" s="26"/>
      <c r="J155" s="26"/>
      <c r="K155" s="26"/>
      <c r="L155" s="26"/>
      <c r="M155" s="26"/>
      <c r="N155" s="26"/>
    </row>
    <row r="156" spans="1:14" x14ac:dyDescent="0.25">
      <c r="A156" s="25"/>
      <c r="B156" s="21"/>
      <c r="C156" s="21"/>
      <c r="D156" s="21"/>
      <c r="E156" s="22"/>
      <c r="H156" s="14">
        <f t="shared" si="4"/>
        <v>0</v>
      </c>
      <c r="I156" s="26"/>
      <c r="J156" s="26"/>
      <c r="K156" s="26"/>
      <c r="L156" s="26"/>
      <c r="M156" s="26"/>
      <c r="N156" s="26"/>
    </row>
    <row r="157" spans="1:14" x14ac:dyDescent="0.25">
      <c r="A157" s="25"/>
      <c r="B157" s="21"/>
      <c r="C157" s="21"/>
      <c r="D157" s="21"/>
      <c r="E157" s="22"/>
      <c r="H157" s="14">
        <f t="shared" si="4"/>
        <v>0</v>
      </c>
      <c r="I157" s="26"/>
      <c r="J157" s="26"/>
      <c r="K157" s="26"/>
      <c r="L157" s="26"/>
      <c r="M157" s="26"/>
      <c r="N157" s="26"/>
    </row>
    <row r="158" spans="1:14" x14ac:dyDescent="0.25">
      <c r="A158" s="25"/>
      <c r="B158" s="21"/>
      <c r="C158" s="21"/>
      <c r="D158" s="21"/>
      <c r="E158" s="22"/>
      <c r="H158" s="14">
        <f t="shared" si="4"/>
        <v>0</v>
      </c>
      <c r="I158" s="26"/>
      <c r="J158" s="26"/>
      <c r="K158" s="26"/>
      <c r="L158" s="26"/>
      <c r="M158" s="26"/>
      <c r="N158" s="26"/>
    </row>
    <row r="159" spans="1:14" x14ac:dyDescent="0.25">
      <c r="A159" s="25"/>
      <c r="B159" s="21"/>
      <c r="C159" s="21"/>
      <c r="D159" s="21"/>
      <c r="E159" s="22"/>
      <c r="H159" s="14">
        <f t="shared" si="4"/>
        <v>0</v>
      </c>
      <c r="I159" s="26"/>
      <c r="J159" s="26"/>
      <c r="K159" s="26"/>
      <c r="L159" s="26"/>
      <c r="M159" s="26"/>
      <c r="N159" s="26"/>
    </row>
    <row r="160" spans="1:14" x14ac:dyDescent="0.25">
      <c r="A160" s="25"/>
      <c r="B160" s="21"/>
      <c r="C160" s="21"/>
      <c r="D160" s="21"/>
      <c r="E160" s="22"/>
      <c r="H160" s="14">
        <f t="shared" si="4"/>
        <v>0</v>
      </c>
      <c r="I160" s="26"/>
      <c r="J160" s="26"/>
      <c r="K160" s="26"/>
      <c r="L160" s="26"/>
      <c r="M160" s="26"/>
      <c r="N160" s="26"/>
    </row>
    <row r="161" spans="1:14" x14ac:dyDescent="0.25">
      <c r="A161" s="25"/>
      <c r="B161" s="21"/>
      <c r="C161" s="21"/>
      <c r="D161" s="21"/>
      <c r="E161" s="22"/>
      <c r="H161" s="14">
        <f t="shared" si="4"/>
        <v>0</v>
      </c>
      <c r="I161" s="26"/>
      <c r="J161" s="26"/>
      <c r="K161" s="26"/>
      <c r="L161" s="26"/>
      <c r="M161" s="26"/>
      <c r="N161" s="26"/>
    </row>
    <row r="162" spans="1:14" x14ac:dyDescent="0.25">
      <c r="A162" s="25"/>
      <c r="B162" s="21"/>
      <c r="C162" s="21"/>
      <c r="D162" s="21"/>
      <c r="E162" s="22"/>
      <c r="H162" s="14">
        <f t="shared" si="4"/>
        <v>0</v>
      </c>
      <c r="I162" s="26"/>
      <c r="J162" s="26"/>
      <c r="K162" s="26"/>
      <c r="L162" s="26"/>
      <c r="M162" s="26"/>
      <c r="N162" s="26"/>
    </row>
    <row r="163" spans="1:14" x14ac:dyDescent="0.25">
      <c r="A163" s="25"/>
      <c r="B163" s="21"/>
      <c r="C163" s="21"/>
      <c r="D163" s="21"/>
      <c r="E163" s="22"/>
      <c r="H163" s="14">
        <f t="shared" si="4"/>
        <v>0</v>
      </c>
      <c r="I163" s="26"/>
      <c r="J163" s="26"/>
      <c r="K163" s="26"/>
      <c r="L163" s="26"/>
      <c r="M163" s="26"/>
      <c r="N163" s="26"/>
    </row>
    <row r="164" spans="1:14" x14ac:dyDescent="0.25">
      <c r="A164" s="25"/>
      <c r="B164" s="21"/>
      <c r="C164" s="21"/>
      <c r="D164" s="21"/>
      <c r="E164" s="22"/>
      <c r="H164" s="14">
        <f t="shared" si="4"/>
        <v>0</v>
      </c>
      <c r="I164" s="26"/>
      <c r="J164" s="26"/>
      <c r="K164" s="26"/>
      <c r="L164" s="26"/>
      <c r="M164" s="26"/>
      <c r="N164" s="26"/>
    </row>
    <row r="165" spans="1:14" x14ac:dyDescent="0.25">
      <c r="A165" s="25"/>
      <c r="B165" s="21"/>
      <c r="C165" s="21"/>
      <c r="D165" s="21"/>
      <c r="E165" s="22"/>
      <c r="H165" s="14">
        <f t="shared" si="4"/>
        <v>0</v>
      </c>
      <c r="I165" s="26"/>
      <c r="J165" s="26"/>
      <c r="K165" s="26"/>
      <c r="L165" s="26"/>
      <c r="M165" s="26"/>
      <c r="N165" s="26"/>
    </row>
    <row r="166" spans="1:14" x14ac:dyDescent="0.25">
      <c r="A166" s="25"/>
      <c r="B166" s="21"/>
      <c r="C166" s="21"/>
      <c r="D166" s="21"/>
      <c r="E166" s="22"/>
      <c r="H166" s="14">
        <f t="shared" si="4"/>
        <v>0</v>
      </c>
      <c r="I166" s="26"/>
      <c r="J166" s="26"/>
      <c r="K166" s="26"/>
      <c r="L166" s="26"/>
      <c r="M166" s="26"/>
      <c r="N166" s="26"/>
    </row>
    <row r="167" spans="1:14" x14ac:dyDescent="0.25">
      <c r="A167" s="25"/>
      <c r="B167" s="21"/>
      <c r="C167" s="21"/>
      <c r="D167" s="21"/>
      <c r="E167" s="22"/>
      <c r="H167" s="14">
        <f t="shared" si="4"/>
        <v>0</v>
      </c>
      <c r="I167" s="26"/>
      <c r="J167" s="26"/>
      <c r="K167" s="26"/>
      <c r="L167" s="26"/>
      <c r="M167" s="26"/>
      <c r="N167" s="26"/>
    </row>
    <row r="168" spans="1:14" x14ac:dyDescent="0.25">
      <c r="A168" s="25"/>
      <c r="B168" s="21"/>
      <c r="C168" s="21"/>
      <c r="D168" s="21"/>
      <c r="E168" s="22"/>
      <c r="H168" s="14">
        <f t="shared" si="4"/>
        <v>0</v>
      </c>
      <c r="I168" s="26"/>
      <c r="J168" s="26"/>
      <c r="K168" s="26"/>
      <c r="L168" s="26"/>
      <c r="M168" s="26"/>
      <c r="N168" s="26"/>
    </row>
    <row r="169" spans="1:14" x14ac:dyDescent="0.25">
      <c r="A169" s="25"/>
      <c r="B169" s="21"/>
      <c r="C169" s="21"/>
      <c r="D169" s="21"/>
      <c r="E169" s="22"/>
      <c r="H169" s="14">
        <f t="shared" si="4"/>
        <v>0</v>
      </c>
      <c r="I169" s="26"/>
      <c r="J169" s="26"/>
      <c r="K169" s="26"/>
      <c r="L169" s="26"/>
      <c r="M169" s="26"/>
      <c r="N169" s="26"/>
    </row>
    <row r="170" spans="1:14" x14ac:dyDescent="0.25">
      <c r="A170" s="25"/>
      <c r="B170" s="21"/>
      <c r="C170" s="21"/>
      <c r="D170" s="21"/>
      <c r="E170" s="22"/>
      <c r="H170" s="14">
        <f t="shared" si="4"/>
        <v>0</v>
      </c>
      <c r="I170" s="26"/>
      <c r="J170" s="26"/>
      <c r="K170" s="26"/>
      <c r="L170" s="26"/>
      <c r="M170" s="26"/>
      <c r="N170" s="26"/>
    </row>
    <row r="171" spans="1:14" x14ac:dyDescent="0.25">
      <c r="A171" s="25"/>
      <c r="B171" s="21"/>
      <c r="C171" s="21"/>
      <c r="D171" s="21"/>
      <c r="E171" s="22"/>
      <c r="H171" s="14">
        <f t="shared" si="4"/>
        <v>0</v>
      </c>
      <c r="I171" s="26"/>
      <c r="J171" s="26"/>
      <c r="K171" s="26"/>
      <c r="L171" s="26"/>
      <c r="M171" s="26"/>
      <c r="N171" s="26"/>
    </row>
    <row r="172" spans="1:14" x14ac:dyDescent="0.25">
      <c r="A172" s="25"/>
      <c r="B172" s="21"/>
      <c r="C172" s="21"/>
      <c r="D172" s="21"/>
      <c r="E172" s="22"/>
      <c r="H172" s="14">
        <f t="shared" si="4"/>
        <v>0</v>
      </c>
      <c r="I172" s="26"/>
      <c r="J172" s="26"/>
      <c r="K172" s="26"/>
      <c r="L172" s="26"/>
      <c r="M172" s="26"/>
      <c r="N172" s="26"/>
    </row>
    <row r="173" spans="1:14" x14ac:dyDescent="0.25">
      <c r="A173" s="25"/>
      <c r="B173" s="21"/>
      <c r="C173" s="21"/>
      <c r="D173" s="21"/>
      <c r="E173" s="22"/>
      <c r="H173" s="14">
        <f t="shared" si="4"/>
        <v>0</v>
      </c>
      <c r="I173" s="26"/>
      <c r="J173" s="26"/>
      <c r="K173" s="26"/>
      <c r="L173" s="26"/>
      <c r="M173" s="26"/>
      <c r="N173" s="26"/>
    </row>
    <row r="174" spans="1:14" x14ac:dyDescent="0.25">
      <c r="A174" s="25"/>
      <c r="B174" s="21"/>
      <c r="C174" s="21"/>
      <c r="D174" s="21"/>
      <c r="E174" s="22"/>
      <c r="H174" s="14">
        <f t="shared" si="4"/>
        <v>0</v>
      </c>
      <c r="I174" s="26"/>
      <c r="J174" s="26"/>
      <c r="K174" s="26"/>
      <c r="L174" s="26"/>
      <c r="M174" s="26"/>
      <c r="N174" s="26"/>
    </row>
    <row r="175" spans="1:14" x14ac:dyDescent="0.25">
      <c r="A175" s="25"/>
      <c r="B175" s="21"/>
      <c r="C175" s="21"/>
      <c r="D175" s="21"/>
      <c r="E175" s="22"/>
      <c r="H175" s="14">
        <f t="shared" si="4"/>
        <v>0</v>
      </c>
      <c r="I175" s="26"/>
      <c r="J175" s="26"/>
      <c r="K175" s="26"/>
      <c r="L175" s="26"/>
      <c r="M175" s="26"/>
      <c r="N175" s="26"/>
    </row>
    <row r="176" spans="1:14" x14ac:dyDescent="0.25">
      <c r="A176" s="25"/>
      <c r="B176" s="21"/>
      <c r="C176" s="21"/>
      <c r="D176" s="21"/>
      <c r="E176" s="22"/>
      <c r="H176" s="14">
        <f t="shared" si="4"/>
        <v>0</v>
      </c>
      <c r="I176" s="26"/>
      <c r="J176" s="26"/>
      <c r="K176" s="26"/>
      <c r="L176" s="26"/>
      <c r="M176" s="26"/>
      <c r="N176" s="26"/>
    </row>
    <row r="177" spans="1:14" x14ac:dyDescent="0.25">
      <c r="A177" s="25"/>
      <c r="B177" s="21"/>
      <c r="C177" s="21"/>
      <c r="D177" s="21"/>
      <c r="E177" s="22"/>
      <c r="H177" s="14">
        <f t="shared" si="4"/>
        <v>0</v>
      </c>
      <c r="I177" s="26"/>
      <c r="J177" s="26"/>
      <c r="K177" s="26"/>
      <c r="L177" s="26"/>
      <c r="M177" s="26"/>
      <c r="N177" s="26"/>
    </row>
    <row r="178" spans="1:14" x14ac:dyDescent="0.25">
      <c r="A178" s="25"/>
      <c r="B178" s="21"/>
      <c r="C178" s="21"/>
      <c r="D178" s="21"/>
      <c r="E178" s="22"/>
      <c r="H178" s="14">
        <f t="shared" si="4"/>
        <v>0</v>
      </c>
      <c r="I178" s="26"/>
      <c r="J178" s="26"/>
      <c r="K178" s="26"/>
      <c r="L178" s="26"/>
      <c r="M178" s="26"/>
      <c r="N178" s="26"/>
    </row>
    <row r="179" spans="1:14" x14ac:dyDescent="0.25">
      <c r="A179" s="25"/>
      <c r="B179" s="21"/>
      <c r="C179" s="21"/>
      <c r="D179" s="21"/>
      <c r="E179" s="22"/>
      <c r="H179" s="14">
        <f t="shared" si="4"/>
        <v>0</v>
      </c>
      <c r="I179" s="26"/>
      <c r="J179" s="26"/>
      <c r="K179" s="26"/>
      <c r="L179" s="26"/>
      <c r="M179" s="26"/>
      <c r="N179" s="26"/>
    </row>
    <row r="180" spans="1:14" x14ac:dyDescent="0.25">
      <c r="A180" s="25"/>
      <c r="B180" s="21"/>
      <c r="C180" s="21"/>
      <c r="D180" s="21"/>
      <c r="E180" s="22"/>
      <c r="H180" s="14">
        <f t="shared" si="4"/>
        <v>0</v>
      </c>
      <c r="I180" s="26"/>
      <c r="J180" s="26"/>
      <c r="K180" s="26"/>
      <c r="L180" s="26"/>
      <c r="M180" s="26"/>
      <c r="N180" s="26"/>
    </row>
    <row r="181" spans="1:14" x14ac:dyDescent="0.25">
      <c r="A181" s="25"/>
      <c r="B181" s="21"/>
      <c r="C181" s="21"/>
      <c r="D181" s="21"/>
      <c r="E181" s="22"/>
      <c r="H181" s="14">
        <f t="shared" si="4"/>
        <v>0</v>
      </c>
      <c r="I181" s="26"/>
      <c r="J181" s="26"/>
      <c r="K181" s="26"/>
      <c r="L181" s="26"/>
      <c r="M181" s="26"/>
      <c r="N181" s="26"/>
    </row>
    <row r="182" spans="1:14" x14ac:dyDescent="0.25">
      <c r="A182" s="25"/>
      <c r="B182" s="21"/>
      <c r="C182" s="21"/>
      <c r="D182" s="21"/>
      <c r="E182" s="22"/>
      <c r="H182" s="14">
        <f t="shared" si="4"/>
        <v>0</v>
      </c>
      <c r="I182" s="26"/>
      <c r="J182" s="26"/>
      <c r="K182" s="26"/>
      <c r="L182" s="26"/>
      <c r="M182" s="26"/>
      <c r="N182" s="26"/>
    </row>
    <row r="183" spans="1:14" x14ac:dyDescent="0.25">
      <c r="A183" s="25"/>
      <c r="B183" s="21"/>
      <c r="C183" s="21"/>
      <c r="D183" s="21"/>
      <c r="E183" s="22"/>
      <c r="H183" s="14">
        <f t="shared" si="4"/>
        <v>0</v>
      </c>
      <c r="I183" s="26"/>
      <c r="J183" s="26"/>
      <c r="K183" s="26"/>
      <c r="L183" s="26"/>
      <c r="M183" s="26"/>
      <c r="N183" s="26"/>
    </row>
    <row r="184" spans="1:14" x14ac:dyDescent="0.25">
      <c r="A184" s="25"/>
      <c r="B184" s="21"/>
      <c r="C184" s="21"/>
      <c r="D184" s="21"/>
      <c r="E184" s="22"/>
      <c r="H184" s="14">
        <f t="shared" si="4"/>
        <v>0</v>
      </c>
      <c r="I184" s="26"/>
      <c r="J184" s="26"/>
      <c r="K184" s="26"/>
      <c r="L184" s="26"/>
      <c r="M184" s="26"/>
      <c r="N184" s="26"/>
    </row>
    <row r="185" spans="1:14" x14ac:dyDescent="0.25">
      <c r="A185" s="25"/>
      <c r="B185" s="21"/>
      <c r="C185" s="21"/>
      <c r="D185" s="21"/>
      <c r="E185" s="22"/>
      <c r="H185" s="14">
        <f t="shared" si="4"/>
        <v>0</v>
      </c>
      <c r="I185" s="26"/>
      <c r="J185" s="26"/>
      <c r="K185" s="26"/>
      <c r="L185" s="26"/>
      <c r="M185" s="26"/>
      <c r="N185" s="26"/>
    </row>
    <row r="186" spans="1:14" x14ac:dyDescent="0.25">
      <c r="A186" s="25"/>
      <c r="B186" s="21"/>
      <c r="C186" s="21"/>
      <c r="D186" s="21"/>
      <c r="E186" s="22"/>
      <c r="H186" s="14">
        <f t="shared" si="4"/>
        <v>0</v>
      </c>
      <c r="I186" s="26"/>
      <c r="J186" s="26"/>
      <c r="K186" s="26"/>
      <c r="L186" s="26"/>
      <c r="M186" s="26"/>
      <c r="N186" s="26"/>
    </row>
    <row r="187" spans="1:14" x14ac:dyDescent="0.25">
      <c r="A187" s="25"/>
      <c r="B187" s="21"/>
      <c r="C187" s="21"/>
      <c r="D187" s="21"/>
      <c r="E187" s="22"/>
      <c r="H187" s="14">
        <f t="shared" si="4"/>
        <v>0</v>
      </c>
      <c r="I187" s="26"/>
      <c r="J187" s="26"/>
      <c r="K187" s="26"/>
      <c r="L187" s="26"/>
      <c r="M187" s="26"/>
      <c r="N187" s="26"/>
    </row>
    <row r="188" spans="1:14" x14ac:dyDescent="0.25">
      <c r="A188" s="25"/>
      <c r="B188" s="21"/>
      <c r="C188" s="21"/>
      <c r="D188" s="21"/>
      <c r="E188" s="22"/>
      <c r="H188" s="14">
        <f t="shared" si="4"/>
        <v>0</v>
      </c>
      <c r="I188" s="26"/>
      <c r="J188" s="26"/>
      <c r="K188" s="26"/>
      <c r="L188" s="26"/>
      <c r="M188" s="26"/>
      <c r="N188" s="26"/>
    </row>
    <row r="189" spans="1:14" x14ac:dyDescent="0.25">
      <c r="A189" s="25"/>
      <c r="B189" s="21"/>
      <c r="C189" s="21"/>
      <c r="D189" s="21"/>
      <c r="E189" s="22"/>
      <c r="H189" s="14">
        <f t="shared" si="4"/>
        <v>0</v>
      </c>
      <c r="I189" s="26"/>
      <c r="J189" s="26"/>
      <c r="K189" s="26"/>
      <c r="L189" s="26"/>
      <c r="M189" s="26"/>
      <c r="N189" s="26"/>
    </row>
    <row r="190" spans="1:14" x14ac:dyDescent="0.25">
      <c r="A190" s="25"/>
      <c r="B190" s="21"/>
      <c r="C190" s="21"/>
      <c r="D190" s="21"/>
      <c r="E190" s="22"/>
      <c r="H190" s="14">
        <f t="shared" si="4"/>
        <v>0</v>
      </c>
      <c r="I190" s="26"/>
      <c r="J190" s="26"/>
      <c r="K190" s="26"/>
      <c r="L190" s="26"/>
      <c r="M190" s="26"/>
      <c r="N190" s="26"/>
    </row>
    <row r="191" spans="1:14" x14ac:dyDescent="0.25">
      <c r="A191" s="25"/>
      <c r="B191" s="21"/>
      <c r="C191" s="21"/>
      <c r="D191" s="21"/>
      <c r="E191" s="22"/>
      <c r="H191" s="14">
        <f t="shared" si="4"/>
        <v>0</v>
      </c>
      <c r="I191" s="26"/>
      <c r="J191" s="26"/>
      <c r="K191" s="26"/>
      <c r="L191" s="26"/>
      <c r="M191" s="26"/>
      <c r="N191" s="26"/>
    </row>
    <row r="192" spans="1:14" x14ac:dyDescent="0.25">
      <c r="A192" s="25"/>
      <c r="B192" s="21"/>
      <c r="C192" s="21"/>
      <c r="D192" s="21"/>
      <c r="E192" s="22"/>
      <c r="H192" s="14">
        <f t="shared" si="4"/>
        <v>0</v>
      </c>
      <c r="I192" s="26"/>
      <c r="J192" s="26"/>
      <c r="K192" s="26"/>
      <c r="L192" s="26"/>
      <c r="M192" s="26"/>
      <c r="N192" s="26"/>
    </row>
    <row r="193" spans="1:14" x14ac:dyDescent="0.25">
      <c r="A193" s="25"/>
      <c r="B193" s="21"/>
      <c r="C193" s="21"/>
      <c r="D193" s="21"/>
      <c r="E193" s="22"/>
      <c r="H193" s="14">
        <f t="shared" si="4"/>
        <v>0</v>
      </c>
      <c r="I193" s="26"/>
      <c r="J193" s="26"/>
      <c r="K193" s="26"/>
      <c r="L193" s="26"/>
      <c r="M193" s="26"/>
      <c r="N193" s="26"/>
    </row>
    <row r="194" spans="1:14" x14ac:dyDescent="0.25">
      <c r="A194" s="25"/>
      <c r="B194" s="21"/>
      <c r="C194" s="21"/>
      <c r="D194" s="21"/>
      <c r="E194" s="22"/>
      <c r="H194" s="14">
        <f t="shared" si="4"/>
        <v>0</v>
      </c>
      <c r="I194" s="26"/>
      <c r="J194" s="26"/>
      <c r="K194" s="26"/>
      <c r="L194" s="26"/>
      <c r="M194" s="26"/>
      <c r="N194" s="26"/>
    </row>
    <row r="195" spans="1:14" x14ac:dyDescent="0.25">
      <c r="A195" s="25"/>
      <c r="B195" s="21"/>
      <c r="C195" s="21"/>
      <c r="D195" s="21"/>
      <c r="E195" s="22"/>
      <c r="H195" s="14">
        <f t="shared" si="4"/>
        <v>0</v>
      </c>
      <c r="I195" s="26"/>
      <c r="J195" s="26"/>
      <c r="K195" s="26"/>
      <c r="L195" s="26"/>
      <c r="M195" s="26"/>
      <c r="N195" s="26"/>
    </row>
    <row r="196" spans="1:14" x14ac:dyDescent="0.25">
      <c r="A196" s="25"/>
      <c r="B196" s="21"/>
      <c r="C196" s="21"/>
      <c r="D196" s="21"/>
      <c r="E196" s="22"/>
      <c r="H196" s="14">
        <f t="shared" si="4"/>
        <v>0</v>
      </c>
      <c r="I196" s="26"/>
      <c r="J196" s="26"/>
      <c r="K196" s="26"/>
      <c r="L196" s="26"/>
      <c r="M196" s="26"/>
      <c r="N196" s="26"/>
    </row>
    <row r="197" spans="1:14" x14ac:dyDescent="0.25">
      <c r="A197" s="25"/>
      <c r="B197" s="21"/>
      <c r="C197" s="21"/>
      <c r="D197" s="21"/>
      <c r="E197" s="22"/>
      <c r="H197" s="14">
        <f t="shared" si="4"/>
        <v>0</v>
      </c>
      <c r="I197" s="26"/>
      <c r="J197" s="26"/>
      <c r="K197" s="26"/>
      <c r="L197" s="26"/>
      <c r="M197" s="26"/>
      <c r="N197" s="26"/>
    </row>
    <row r="198" spans="1:14" x14ac:dyDescent="0.25">
      <c r="A198" s="25"/>
      <c r="B198" s="21"/>
      <c r="C198" s="21"/>
      <c r="D198" s="21"/>
      <c r="E198" s="22"/>
      <c r="H198" s="14">
        <f t="shared" ref="H198:H261" si="5">IF(ISNUMBER(SEARCH("__PARAM0__",G198)),SUBSTITUTE(G198,"__PARAM0__","XYZ"),IF(ISNUMBER(SEARCH("__PARAM1__",G198)),SUBSTITUTE(G198,"__PARAM1__","ZYX"),G198))</f>
        <v>0</v>
      </c>
      <c r="I198" s="26"/>
      <c r="J198" s="26"/>
      <c r="K198" s="26"/>
      <c r="L198" s="26"/>
      <c r="M198" s="26"/>
      <c r="N198" s="26"/>
    </row>
    <row r="199" spans="1:14" x14ac:dyDescent="0.25">
      <c r="A199" s="25"/>
      <c r="B199" s="21"/>
      <c r="C199" s="21"/>
      <c r="D199" s="21"/>
      <c r="E199" s="22"/>
      <c r="H199" s="14">
        <f t="shared" si="5"/>
        <v>0</v>
      </c>
      <c r="I199" s="26"/>
      <c r="J199" s="26"/>
      <c r="K199" s="26"/>
      <c r="L199" s="26"/>
      <c r="M199" s="26"/>
      <c r="N199" s="26"/>
    </row>
    <row r="200" spans="1:14" x14ac:dyDescent="0.25">
      <c r="A200" s="25"/>
      <c r="B200" s="21"/>
      <c r="C200" s="21"/>
      <c r="D200" s="21"/>
      <c r="E200" s="22"/>
      <c r="H200" s="14">
        <f t="shared" si="5"/>
        <v>0</v>
      </c>
      <c r="I200" s="26"/>
      <c r="J200" s="26"/>
      <c r="K200" s="26"/>
      <c r="L200" s="26"/>
      <c r="M200" s="26"/>
      <c r="N200" s="26"/>
    </row>
    <row r="201" spans="1:14" x14ac:dyDescent="0.25">
      <c r="A201" s="25"/>
      <c r="B201" s="21"/>
      <c r="C201" s="21"/>
      <c r="D201" s="21"/>
      <c r="E201" s="22"/>
      <c r="H201" s="14">
        <f t="shared" si="5"/>
        <v>0</v>
      </c>
      <c r="I201" s="26"/>
      <c r="J201" s="26"/>
      <c r="K201" s="26"/>
      <c r="L201" s="26"/>
      <c r="M201" s="26"/>
      <c r="N201" s="26"/>
    </row>
    <row r="202" spans="1:14" x14ac:dyDescent="0.25">
      <c r="A202" s="25"/>
      <c r="B202" s="21"/>
      <c r="C202" s="21"/>
      <c r="D202" s="21"/>
      <c r="E202" s="22"/>
      <c r="H202" s="14">
        <f t="shared" si="5"/>
        <v>0</v>
      </c>
      <c r="I202" s="26"/>
      <c r="J202" s="26"/>
      <c r="K202" s="26"/>
      <c r="L202" s="26"/>
      <c r="M202" s="26"/>
      <c r="N202" s="26"/>
    </row>
    <row r="203" spans="1:14" x14ac:dyDescent="0.25">
      <c r="A203" s="25"/>
      <c r="B203" s="21"/>
      <c r="C203" s="21"/>
      <c r="D203" s="21"/>
      <c r="E203" s="22"/>
      <c r="H203" s="14">
        <f t="shared" si="5"/>
        <v>0</v>
      </c>
      <c r="I203" s="26"/>
      <c r="J203" s="26"/>
      <c r="K203" s="26"/>
      <c r="L203" s="26"/>
      <c r="M203" s="26"/>
      <c r="N203" s="26"/>
    </row>
    <row r="204" spans="1:14" x14ac:dyDescent="0.25">
      <c r="A204" s="25"/>
      <c r="B204" s="21"/>
      <c r="C204" s="21"/>
      <c r="D204" s="21"/>
      <c r="E204" s="22"/>
      <c r="H204" s="14">
        <f t="shared" si="5"/>
        <v>0</v>
      </c>
      <c r="I204" s="26"/>
      <c r="J204" s="26"/>
      <c r="K204" s="26"/>
      <c r="L204" s="26"/>
      <c r="M204" s="26"/>
      <c r="N204" s="26"/>
    </row>
    <row r="205" spans="1:14" x14ac:dyDescent="0.25">
      <c r="A205" s="25"/>
      <c r="B205" s="21"/>
      <c r="C205" s="21"/>
      <c r="D205" s="21"/>
      <c r="E205" s="22"/>
      <c r="H205" s="14">
        <f t="shared" si="5"/>
        <v>0</v>
      </c>
      <c r="I205" s="26"/>
      <c r="J205" s="26"/>
      <c r="K205" s="26"/>
      <c r="L205" s="26"/>
      <c r="M205" s="26"/>
      <c r="N205" s="26"/>
    </row>
    <row r="206" spans="1:14" x14ac:dyDescent="0.25">
      <c r="A206" s="25"/>
      <c r="B206" s="21"/>
      <c r="C206" s="21"/>
      <c r="D206" s="21"/>
      <c r="E206" s="22"/>
      <c r="H206" s="14">
        <f t="shared" si="5"/>
        <v>0</v>
      </c>
      <c r="I206" s="26"/>
      <c r="J206" s="26"/>
      <c r="K206" s="26"/>
      <c r="L206" s="26"/>
      <c r="M206" s="26"/>
      <c r="N206" s="26"/>
    </row>
    <row r="207" spans="1:14" x14ac:dyDescent="0.25">
      <c r="A207" s="25"/>
      <c r="B207" s="21"/>
      <c r="C207" s="21"/>
      <c r="D207" s="21"/>
      <c r="E207" s="22"/>
      <c r="H207" s="14">
        <f t="shared" si="5"/>
        <v>0</v>
      </c>
      <c r="I207" s="26"/>
      <c r="J207" s="26"/>
      <c r="K207" s="26"/>
      <c r="L207" s="26"/>
      <c r="M207" s="26"/>
      <c r="N207" s="26"/>
    </row>
    <row r="208" spans="1:14" x14ac:dyDescent="0.25">
      <c r="A208" s="25"/>
      <c r="B208" s="21"/>
      <c r="C208" s="21"/>
      <c r="D208" s="21"/>
      <c r="E208" s="22"/>
      <c r="H208" s="14">
        <f t="shared" si="5"/>
        <v>0</v>
      </c>
      <c r="I208" s="26"/>
      <c r="J208" s="26"/>
      <c r="K208" s="26"/>
      <c r="L208" s="26"/>
      <c r="M208" s="26"/>
      <c r="N208" s="26"/>
    </row>
    <row r="209" spans="1:14" x14ac:dyDescent="0.25">
      <c r="A209" s="25"/>
      <c r="B209" s="21"/>
      <c r="C209" s="21"/>
      <c r="D209" s="21"/>
      <c r="E209" s="22"/>
      <c r="H209" s="14">
        <f t="shared" si="5"/>
        <v>0</v>
      </c>
      <c r="I209" s="26"/>
      <c r="J209" s="26"/>
      <c r="K209" s="26"/>
      <c r="L209" s="26"/>
      <c r="M209" s="26"/>
      <c r="N209" s="26"/>
    </row>
    <row r="210" spans="1:14" x14ac:dyDescent="0.25">
      <c r="A210" s="25"/>
      <c r="B210" s="21"/>
      <c r="C210" s="21"/>
      <c r="D210" s="21"/>
      <c r="E210" s="22"/>
      <c r="H210" s="14">
        <f t="shared" si="5"/>
        <v>0</v>
      </c>
      <c r="I210" s="26"/>
      <c r="J210" s="26"/>
      <c r="K210" s="26"/>
      <c r="L210" s="26"/>
      <c r="M210" s="26"/>
      <c r="N210" s="26"/>
    </row>
    <row r="211" spans="1:14" x14ac:dyDescent="0.25">
      <c r="A211" s="25"/>
      <c r="B211" s="21"/>
      <c r="C211" s="21"/>
      <c r="D211" s="21"/>
      <c r="E211" s="22"/>
      <c r="H211" s="14">
        <f t="shared" si="5"/>
        <v>0</v>
      </c>
      <c r="I211" s="26"/>
      <c r="J211" s="26"/>
      <c r="K211" s="26"/>
      <c r="L211" s="26"/>
      <c r="M211" s="26"/>
      <c r="N211" s="26"/>
    </row>
    <row r="212" spans="1:14" x14ac:dyDescent="0.25">
      <c r="A212" s="25"/>
      <c r="B212" s="21"/>
      <c r="C212" s="21"/>
      <c r="D212" s="21"/>
      <c r="E212" s="22"/>
      <c r="H212" s="14">
        <f t="shared" si="5"/>
        <v>0</v>
      </c>
      <c r="I212" s="26"/>
      <c r="J212" s="26"/>
      <c r="K212" s="26"/>
      <c r="L212" s="26"/>
      <c r="M212" s="26"/>
      <c r="N212" s="26"/>
    </row>
    <row r="213" spans="1:14" x14ac:dyDescent="0.25">
      <c r="A213" s="25"/>
      <c r="B213" s="21"/>
      <c r="C213" s="21"/>
      <c r="D213" s="21"/>
      <c r="E213" s="22"/>
      <c r="H213" s="14">
        <f t="shared" si="5"/>
        <v>0</v>
      </c>
      <c r="I213" s="26"/>
      <c r="J213" s="26"/>
      <c r="K213" s="26"/>
      <c r="L213" s="26"/>
      <c r="M213" s="26"/>
      <c r="N213" s="26"/>
    </row>
    <row r="214" spans="1:14" x14ac:dyDescent="0.25">
      <c r="A214" s="25"/>
      <c r="B214" s="21"/>
      <c r="C214" s="21"/>
      <c r="D214" s="21"/>
      <c r="E214" s="22"/>
      <c r="H214" s="14">
        <f t="shared" si="5"/>
        <v>0</v>
      </c>
      <c r="I214" s="26"/>
      <c r="J214" s="26"/>
      <c r="K214" s="26"/>
      <c r="L214" s="26"/>
      <c r="M214" s="26"/>
      <c r="N214" s="26"/>
    </row>
    <row r="215" spans="1:14" x14ac:dyDescent="0.25">
      <c r="A215" s="25"/>
      <c r="B215" s="21"/>
      <c r="C215" s="21"/>
      <c r="D215" s="21"/>
      <c r="E215" s="22"/>
      <c r="H215" s="14">
        <f t="shared" si="5"/>
        <v>0</v>
      </c>
      <c r="I215" s="26"/>
      <c r="J215" s="26"/>
      <c r="K215" s="26"/>
      <c r="L215" s="26"/>
      <c r="M215" s="26"/>
      <c r="N215" s="26"/>
    </row>
    <row r="216" spans="1:14" x14ac:dyDescent="0.25">
      <c r="A216" s="25"/>
      <c r="B216" s="21"/>
      <c r="C216" s="21"/>
      <c r="D216" s="21"/>
      <c r="E216" s="22"/>
      <c r="H216" s="14">
        <f t="shared" si="5"/>
        <v>0</v>
      </c>
      <c r="I216" s="26"/>
      <c r="J216" s="26"/>
      <c r="K216" s="26"/>
      <c r="L216" s="26"/>
      <c r="M216" s="26"/>
      <c r="N216" s="26"/>
    </row>
    <row r="217" spans="1:14" x14ac:dyDescent="0.25">
      <c r="A217" s="25"/>
      <c r="B217" s="21"/>
      <c r="C217" s="21"/>
      <c r="D217" s="21"/>
      <c r="E217" s="22"/>
      <c r="H217" s="14">
        <f t="shared" si="5"/>
        <v>0</v>
      </c>
      <c r="I217" s="26"/>
      <c r="J217" s="26"/>
      <c r="K217" s="26"/>
      <c r="L217" s="26"/>
      <c r="M217" s="26"/>
      <c r="N217" s="26"/>
    </row>
    <row r="218" spans="1:14" x14ac:dyDescent="0.25">
      <c r="A218" s="25"/>
      <c r="B218" s="21"/>
      <c r="C218" s="21"/>
      <c r="D218" s="21"/>
      <c r="E218" s="22"/>
      <c r="H218" s="14">
        <f t="shared" si="5"/>
        <v>0</v>
      </c>
      <c r="I218" s="26"/>
      <c r="J218" s="26"/>
      <c r="K218" s="26"/>
      <c r="L218" s="26"/>
      <c r="M218" s="26"/>
      <c r="N218" s="26"/>
    </row>
    <row r="219" spans="1:14" x14ac:dyDescent="0.25">
      <c r="A219" s="25"/>
      <c r="B219" s="21"/>
      <c r="C219" s="21"/>
      <c r="D219" s="21"/>
      <c r="E219" s="22"/>
      <c r="H219" s="14">
        <f t="shared" si="5"/>
        <v>0</v>
      </c>
      <c r="I219" s="26"/>
      <c r="J219" s="26"/>
      <c r="K219" s="26"/>
      <c r="L219" s="26"/>
      <c r="M219" s="26"/>
      <c r="N219" s="26"/>
    </row>
    <row r="220" spans="1:14" x14ac:dyDescent="0.25">
      <c r="A220" s="25"/>
      <c r="B220" s="21"/>
      <c r="C220" s="21"/>
      <c r="D220" s="21"/>
      <c r="E220" s="22"/>
      <c r="H220" s="14">
        <f t="shared" si="5"/>
        <v>0</v>
      </c>
      <c r="I220" s="26"/>
      <c r="J220" s="26"/>
      <c r="K220" s="26"/>
      <c r="L220" s="26"/>
      <c r="M220" s="26"/>
      <c r="N220" s="26"/>
    </row>
    <row r="221" spans="1:14" x14ac:dyDescent="0.25">
      <c r="A221" s="25"/>
      <c r="B221" s="21"/>
      <c r="C221" s="21"/>
      <c r="D221" s="21"/>
      <c r="E221" s="22"/>
      <c r="H221" s="14">
        <f t="shared" si="5"/>
        <v>0</v>
      </c>
      <c r="I221" s="26"/>
      <c r="J221" s="26"/>
      <c r="K221" s="26"/>
      <c r="L221" s="26"/>
      <c r="M221" s="26"/>
      <c r="N221" s="26"/>
    </row>
    <row r="222" spans="1:14" x14ac:dyDescent="0.25">
      <c r="A222" s="25"/>
      <c r="B222" s="21"/>
      <c r="C222" s="21"/>
      <c r="D222" s="21"/>
      <c r="E222" s="22"/>
      <c r="H222" s="14">
        <f t="shared" si="5"/>
        <v>0</v>
      </c>
      <c r="I222" s="26"/>
      <c r="J222" s="26"/>
      <c r="K222" s="26"/>
      <c r="L222" s="26"/>
      <c r="M222" s="26"/>
      <c r="N222" s="26"/>
    </row>
    <row r="223" spans="1:14" x14ac:dyDescent="0.25">
      <c r="A223" s="25"/>
      <c r="B223" s="21"/>
      <c r="C223" s="21"/>
      <c r="D223" s="21"/>
      <c r="E223" s="22"/>
      <c r="H223" s="14">
        <f t="shared" si="5"/>
        <v>0</v>
      </c>
      <c r="I223" s="26"/>
      <c r="J223" s="26"/>
      <c r="K223" s="26"/>
      <c r="L223" s="26"/>
      <c r="M223" s="26"/>
      <c r="N223" s="26"/>
    </row>
    <row r="224" spans="1:14" x14ac:dyDescent="0.25">
      <c r="A224" s="25"/>
      <c r="B224" s="21"/>
      <c r="C224" s="21"/>
      <c r="D224" s="21"/>
      <c r="E224" s="22"/>
      <c r="H224" s="14">
        <f t="shared" si="5"/>
        <v>0</v>
      </c>
      <c r="I224" s="26"/>
      <c r="J224" s="26"/>
      <c r="K224" s="26"/>
      <c r="L224" s="26"/>
      <c r="M224" s="26"/>
      <c r="N224" s="26"/>
    </row>
    <row r="225" spans="1:14" x14ac:dyDescent="0.25">
      <c r="A225" s="25"/>
      <c r="B225" s="21"/>
      <c r="C225" s="21"/>
      <c r="D225" s="21"/>
      <c r="E225" s="22"/>
      <c r="H225" s="14">
        <f t="shared" si="5"/>
        <v>0</v>
      </c>
      <c r="I225" s="26"/>
      <c r="J225" s="26"/>
      <c r="K225" s="26"/>
      <c r="L225" s="26"/>
      <c r="M225" s="26"/>
      <c r="N225" s="26"/>
    </row>
    <row r="226" spans="1:14" x14ac:dyDescent="0.25">
      <c r="A226" s="25"/>
      <c r="B226" s="21"/>
      <c r="C226" s="21"/>
      <c r="D226" s="21"/>
      <c r="E226" s="22"/>
      <c r="H226" s="14">
        <f t="shared" si="5"/>
        <v>0</v>
      </c>
      <c r="I226" s="26"/>
      <c r="J226" s="26"/>
      <c r="K226" s="26"/>
      <c r="L226" s="26"/>
      <c r="M226" s="26"/>
      <c r="N226" s="26"/>
    </row>
    <row r="227" spans="1:14" x14ac:dyDescent="0.25">
      <c r="A227" s="25"/>
      <c r="B227" s="21"/>
      <c r="C227" s="21"/>
      <c r="D227" s="21"/>
      <c r="E227" s="22"/>
      <c r="H227" s="14">
        <f t="shared" si="5"/>
        <v>0</v>
      </c>
      <c r="I227" s="26"/>
      <c r="J227" s="26"/>
      <c r="K227" s="26"/>
      <c r="L227" s="26"/>
      <c r="M227" s="26"/>
      <c r="N227" s="26"/>
    </row>
    <row r="228" spans="1:14" x14ac:dyDescent="0.25">
      <c r="A228" s="25"/>
      <c r="B228" s="21"/>
      <c r="C228" s="21"/>
      <c r="D228" s="21"/>
      <c r="E228" s="22"/>
      <c r="H228" s="14">
        <f t="shared" si="5"/>
        <v>0</v>
      </c>
      <c r="I228" s="26"/>
      <c r="J228" s="26"/>
      <c r="K228" s="26"/>
      <c r="L228" s="26"/>
      <c r="M228" s="26"/>
      <c r="N228" s="26"/>
    </row>
    <row r="229" spans="1:14" x14ac:dyDescent="0.25">
      <c r="A229" s="25"/>
      <c r="B229" s="21"/>
      <c r="C229" s="21"/>
      <c r="D229" s="21"/>
      <c r="E229" s="22"/>
      <c r="H229" s="14">
        <f t="shared" si="5"/>
        <v>0</v>
      </c>
      <c r="I229" s="26"/>
      <c r="J229" s="26"/>
      <c r="K229" s="26"/>
      <c r="L229" s="26"/>
      <c r="M229" s="26"/>
      <c r="N229" s="26"/>
    </row>
    <row r="230" spans="1:14" x14ac:dyDescent="0.25">
      <c r="A230" s="25"/>
      <c r="B230" s="21"/>
      <c r="C230" s="21"/>
      <c r="D230" s="21"/>
      <c r="E230" s="22"/>
      <c r="H230" s="14">
        <f t="shared" si="5"/>
        <v>0</v>
      </c>
      <c r="I230" s="26"/>
      <c r="J230" s="26"/>
      <c r="K230" s="26"/>
      <c r="L230" s="26"/>
      <c r="M230" s="26"/>
      <c r="N230" s="26"/>
    </row>
    <row r="231" spans="1:14" x14ac:dyDescent="0.25">
      <c r="A231" s="25"/>
      <c r="B231" s="21"/>
      <c r="C231" s="21"/>
      <c r="D231" s="21"/>
      <c r="E231" s="22"/>
      <c r="H231" s="14">
        <f t="shared" si="5"/>
        <v>0</v>
      </c>
      <c r="I231" s="26"/>
      <c r="J231" s="26"/>
      <c r="K231" s="26"/>
      <c r="L231" s="26"/>
      <c r="M231" s="26"/>
      <c r="N231" s="26"/>
    </row>
    <row r="232" spans="1:14" x14ac:dyDescent="0.25">
      <c r="A232" s="25"/>
      <c r="B232" s="21"/>
      <c r="C232" s="21"/>
      <c r="D232" s="21"/>
      <c r="E232" s="22"/>
      <c r="H232" s="14">
        <f t="shared" si="5"/>
        <v>0</v>
      </c>
      <c r="I232" s="26"/>
      <c r="J232" s="26"/>
      <c r="K232" s="26"/>
      <c r="L232" s="26"/>
      <c r="M232" s="26"/>
      <c r="N232" s="26"/>
    </row>
    <row r="233" spans="1:14" x14ac:dyDescent="0.25">
      <c r="A233" s="25"/>
      <c r="B233" s="21"/>
      <c r="C233" s="21"/>
      <c r="D233" s="21"/>
      <c r="E233" s="22"/>
      <c r="H233" s="14">
        <f t="shared" si="5"/>
        <v>0</v>
      </c>
      <c r="I233" s="26"/>
      <c r="J233" s="26"/>
      <c r="K233" s="26"/>
      <c r="L233" s="26"/>
      <c r="M233" s="26"/>
      <c r="N233" s="26"/>
    </row>
    <row r="234" spans="1:14" x14ac:dyDescent="0.25">
      <c r="A234" s="25"/>
      <c r="B234" s="21"/>
      <c r="C234" s="21"/>
      <c r="D234" s="21"/>
      <c r="E234" s="22"/>
      <c r="H234" s="14">
        <f t="shared" si="5"/>
        <v>0</v>
      </c>
      <c r="I234" s="26"/>
      <c r="J234" s="26"/>
      <c r="K234" s="26"/>
      <c r="L234" s="26"/>
      <c r="M234" s="26"/>
      <c r="N234" s="26"/>
    </row>
    <row r="235" spans="1:14" x14ac:dyDescent="0.25">
      <c r="A235" s="25"/>
      <c r="B235" s="21"/>
      <c r="C235" s="21"/>
      <c r="D235" s="21"/>
      <c r="E235" s="22"/>
      <c r="H235" s="14">
        <f t="shared" si="5"/>
        <v>0</v>
      </c>
      <c r="I235" s="26"/>
      <c r="J235" s="26"/>
      <c r="K235" s="26"/>
      <c r="L235" s="26"/>
      <c r="M235" s="26"/>
      <c r="N235" s="26"/>
    </row>
    <row r="236" spans="1:14" x14ac:dyDescent="0.25">
      <c r="A236" s="25"/>
      <c r="B236" s="21"/>
      <c r="C236" s="21"/>
      <c r="D236" s="21"/>
      <c r="E236" s="22"/>
      <c r="H236" s="14">
        <f t="shared" si="5"/>
        <v>0</v>
      </c>
      <c r="I236" s="26"/>
      <c r="J236" s="26"/>
      <c r="K236" s="26"/>
      <c r="L236" s="26"/>
      <c r="M236" s="26"/>
      <c r="N236" s="26"/>
    </row>
    <row r="237" spans="1:14" x14ac:dyDescent="0.25">
      <c r="A237" s="25"/>
      <c r="B237" s="21"/>
      <c r="C237" s="21"/>
      <c r="D237" s="21"/>
      <c r="E237" s="22"/>
      <c r="H237" s="14">
        <f t="shared" si="5"/>
        <v>0</v>
      </c>
      <c r="I237" s="26"/>
      <c r="J237" s="26"/>
      <c r="K237" s="26"/>
      <c r="L237" s="26"/>
      <c r="M237" s="26"/>
      <c r="N237" s="26"/>
    </row>
    <row r="238" spans="1:14" x14ac:dyDescent="0.25">
      <c r="A238" s="25"/>
      <c r="B238" s="21"/>
      <c r="C238" s="21"/>
      <c r="D238" s="21"/>
      <c r="E238" s="22"/>
      <c r="H238" s="14">
        <f t="shared" si="5"/>
        <v>0</v>
      </c>
      <c r="I238" s="26"/>
      <c r="J238" s="26"/>
      <c r="K238" s="26"/>
      <c r="L238" s="26"/>
      <c r="M238" s="26"/>
      <c r="N238" s="26"/>
    </row>
    <row r="239" spans="1:14" x14ac:dyDescent="0.25">
      <c r="A239" s="25"/>
      <c r="B239" s="21"/>
      <c r="C239" s="21"/>
      <c r="D239" s="21"/>
      <c r="E239" s="22"/>
      <c r="H239" s="14">
        <f t="shared" si="5"/>
        <v>0</v>
      </c>
      <c r="I239" s="26"/>
      <c r="J239" s="26"/>
      <c r="K239" s="26"/>
      <c r="L239" s="26"/>
      <c r="M239" s="26"/>
      <c r="N239" s="26"/>
    </row>
    <row r="240" spans="1:14" x14ac:dyDescent="0.25">
      <c r="A240" s="25"/>
      <c r="B240" s="21"/>
      <c r="C240" s="21"/>
      <c r="D240" s="21"/>
      <c r="E240" s="22"/>
      <c r="H240" s="14">
        <f t="shared" si="5"/>
        <v>0</v>
      </c>
      <c r="I240" s="26"/>
      <c r="J240" s="26"/>
      <c r="K240" s="26"/>
      <c r="L240" s="26"/>
      <c r="M240" s="26"/>
      <c r="N240" s="26"/>
    </row>
    <row r="241" spans="1:14" x14ac:dyDescent="0.25">
      <c r="A241" s="25"/>
      <c r="B241" s="21"/>
      <c r="C241" s="21"/>
      <c r="D241" s="21"/>
      <c r="E241" s="22"/>
      <c r="H241" s="14">
        <f t="shared" si="5"/>
        <v>0</v>
      </c>
      <c r="I241" s="26"/>
      <c r="J241" s="26"/>
      <c r="K241" s="26"/>
      <c r="L241" s="26"/>
      <c r="M241" s="26"/>
      <c r="N241" s="26"/>
    </row>
    <row r="242" spans="1:14" x14ac:dyDescent="0.25">
      <c r="A242" s="25"/>
      <c r="B242" s="21"/>
      <c r="C242" s="21"/>
      <c r="D242" s="21"/>
      <c r="E242" s="22"/>
      <c r="H242" s="14">
        <f t="shared" si="5"/>
        <v>0</v>
      </c>
      <c r="I242" s="26"/>
      <c r="J242" s="26"/>
      <c r="K242" s="26"/>
      <c r="L242" s="26"/>
      <c r="M242" s="26"/>
      <c r="N242" s="26"/>
    </row>
    <row r="243" spans="1:14" x14ac:dyDescent="0.25">
      <c r="A243" s="25"/>
      <c r="B243" s="21"/>
      <c r="C243" s="21"/>
      <c r="D243" s="21"/>
      <c r="E243" s="22"/>
      <c r="H243" s="14">
        <f t="shared" si="5"/>
        <v>0</v>
      </c>
      <c r="I243" s="26"/>
      <c r="J243" s="26"/>
      <c r="K243" s="26"/>
      <c r="L243" s="26"/>
      <c r="M243" s="26"/>
      <c r="N243" s="26"/>
    </row>
    <row r="244" spans="1:14" x14ac:dyDescent="0.25">
      <c r="A244" s="25"/>
      <c r="B244" s="21"/>
      <c r="C244" s="21"/>
      <c r="D244" s="21"/>
      <c r="E244" s="22"/>
      <c r="H244" s="14">
        <f t="shared" si="5"/>
        <v>0</v>
      </c>
      <c r="I244" s="26"/>
      <c r="J244" s="26"/>
      <c r="K244" s="26"/>
      <c r="L244" s="26"/>
      <c r="M244" s="26"/>
      <c r="N244" s="26"/>
    </row>
    <row r="245" spans="1:14" x14ac:dyDescent="0.25">
      <c r="A245" s="25"/>
      <c r="B245" s="21"/>
      <c r="C245" s="21"/>
      <c r="D245" s="21"/>
      <c r="E245" s="22"/>
      <c r="H245" s="14">
        <f t="shared" si="5"/>
        <v>0</v>
      </c>
      <c r="I245" s="26"/>
      <c r="J245" s="26"/>
      <c r="K245" s="26"/>
      <c r="L245" s="26"/>
      <c r="M245" s="26"/>
      <c r="N245" s="26"/>
    </row>
    <row r="246" spans="1:14" x14ac:dyDescent="0.25">
      <c r="A246" s="25"/>
      <c r="B246" s="21"/>
      <c r="C246" s="21"/>
      <c r="D246" s="21"/>
      <c r="E246" s="22"/>
      <c r="H246" s="14">
        <f t="shared" si="5"/>
        <v>0</v>
      </c>
      <c r="I246" s="26"/>
      <c r="J246" s="26"/>
      <c r="K246" s="26"/>
      <c r="L246" s="26"/>
      <c r="M246" s="26"/>
      <c r="N246" s="26"/>
    </row>
    <row r="247" spans="1:14" x14ac:dyDescent="0.25">
      <c r="A247" s="25"/>
      <c r="B247" s="21"/>
      <c r="C247" s="21"/>
      <c r="D247" s="21"/>
      <c r="E247" s="22"/>
      <c r="H247" s="14">
        <f t="shared" si="5"/>
        <v>0</v>
      </c>
      <c r="I247" s="26"/>
      <c r="J247" s="26"/>
      <c r="K247" s="26"/>
      <c r="L247" s="26"/>
      <c r="M247" s="26"/>
      <c r="N247" s="26"/>
    </row>
    <row r="248" spans="1:14" x14ac:dyDescent="0.25">
      <c r="A248" s="25"/>
      <c r="B248" s="21"/>
      <c r="C248" s="21"/>
      <c r="D248" s="21"/>
      <c r="E248" s="22"/>
      <c r="H248" s="14">
        <f t="shared" si="5"/>
        <v>0</v>
      </c>
      <c r="I248" s="26"/>
      <c r="J248" s="26"/>
      <c r="K248" s="26"/>
      <c r="L248" s="26"/>
      <c r="M248" s="26"/>
      <c r="N248" s="26"/>
    </row>
    <row r="249" spans="1:14" x14ac:dyDescent="0.25">
      <c r="A249" s="25"/>
      <c r="B249" s="21"/>
      <c r="C249" s="21"/>
      <c r="D249" s="21"/>
      <c r="E249" s="22"/>
      <c r="H249" s="14">
        <f t="shared" si="5"/>
        <v>0</v>
      </c>
      <c r="I249" s="26"/>
      <c r="J249" s="26"/>
      <c r="K249" s="26"/>
      <c r="L249" s="26"/>
      <c r="M249" s="26"/>
      <c r="N249" s="26"/>
    </row>
    <row r="250" spans="1:14" x14ac:dyDescent="0.25">
      <c r="A250" s="25"/>
      <c r="B250" s="21"/>
      <c r="C250" s="21"/>
      <c r="D250" s="21"/>
      <c r="E250" s="22"/>
      <c r="H250" s="14">
        <f t="shared" si="5"/>
        <v>0</v>
      </c>
      <c r="I250" s="26"/>
      <c r="J250" s="26"/>
      <c r="K250" s="26"/>
      <c r="L250" s="26"/>
      <c r="M250" s="26"/>
      <c r="N250" s="26"/>
    </row>
    <row r="251" spans="1:14" x14ac:dyDescent="0.25">
      <c r="A251" s="25"/>
      <c r="B251" s="21"/>
      <c r="C251" s="21"/>
      <c r="D251" s="21"/>
      <c r="E251" s="22"/>
      <c r="H251" s="14">
        <f t="shared" si="5"/>
        <v>0</v>
      </c>
      <c r="I251" s="26"/>
      <c r="J251" s="26"/>
      <c r="K251" s="26"/>
      <c r="L251" s="26"/>
      <c r="M251" s="26"/>
      <c r="N251" s="26"/>
    </row>
    <row r="252" spans="1:14" x14ac:dyDescent="0.25">
      <c r="A252" s="25"/>
      <c r="B252" s="21"/>
      <c r="C252" s="21"/>
      <c r="D252" s="21"/>
      <c r="E252" s="22"/>
      <c r="H252" s="14">
        <f t="shared" si="5"/>
        <v>0</v>
      </c>
      <c r="I252" s="26"/>
      <c r="J252" s="26"/>
      <c r="K252" s="26"/>
      <c r="L252" s="26"/>
      <c r="M252" s="26"/>
      <c r="N252" s="26"/>
    </row>
    <row r="253" spans="1:14" x14ac:dyDescent="0.25">
      <c r="A253" s="25"/>
      <c r="B253" s="21"/>
      <c r="C253" s="21"/>
      <c r="D253" s="21"/>
      <c r="E253" s="22"/>
      <c r="H253" s="14">
        <f t="shared" si="5"/>
        <v>0</v>
      </c>
      <c r="I253" s="26"/>
      <c r="J253" s="26"/>
      <c r="K253" s="26"/>
      <c r="L253" s="26"/>
      <c r="M253" s="26"/>
      <c r="N253" s="26"/>
    </row>
    <row r="254" spans="1:14" x14ac:dyDescent="0.25">
      <c r="A254" s="25"/>
      <c r="B254" s="21"/>
      <c r="C254" s="21"/>
      <c r="D254" s="21"/>
      <c r="E254" s="22"/>
      <c r="H254" s="14">
        <f t="shared" si="5"/>
        <v>0</v>
      </c>
      <c r="I254" s="26"/>
      <c r="J254" s="26"/>
      <c r="K254" s="26"/>
      <c r="L254" s="26"/>
      <c r="M254" s="26"/>
      <c r="N254" s="26"/>
    </row>
    <row r="255" spans="1:14" x14ac:dyDescent="0.25">
      <c r="A255" s="25"/>
      <c r="B255" s="21"/>
      <c r="C255" s="21"/>
      <c r="D255" s="21"/>
      <c r="E255" s="22"/>
      <c r="H255" s="14">
        <f t="shared" si="5"/>
        <v>0</v>
      </c>
      <c r="I255" s="26"/>
      <c r="J255" s="26"/>
      <c r="K255" s="26"/>
      <c r="L255" s="26"/>
      <c r="M255" s="26"/>
      <c r="N255" s="26"/>
    </row>
    <row r="256" spans="1:14" x14ac:dyDescent="0.25">
      <c r="A256" s="25"/>
      <c r="B256" s="21"/>
      <c r="C256" s="21"/>
      <c r="D256" s="21"/>
      <c r="E256" s="22"/>
      <c r="H256" s="14">
        <f t="shared" si="5"/>
        <v>0</v>
      </c>
      <c r="I256" s="26"/>
      <c r="J256" s="26"/>
      <c r="K256" s="26"/>
      <c r="L256" s="26"/>
      <c r="M256" s="26"/>
      <c r="N256" s="26"/>
    </row>
    <row r="257" spans="1:14" x14ac:dyDescent="0.25">
      <c r="A257" s="25"/>
      <c r="B257" s="21"/>
      <c r="C257" s="21"/>
      <c r="D257" s="21"/>
      <c r="E257" s="22"/>
      <c r="H257" s="14">
        <f t="shared" si="5"/>
        <v>0</v>
      </c>
      <c r="I257" s="26"/>
      <c r="J257" s="26"/>
      <c r="K257" s="26"/>
      <c r="L257" s="26"/>
      <c r="M257" s="26"/>
      <c r="N257" s="26"/>
    </row>
    <row r="258" spans="1:14" x14ac:dyDescent="0.25">
      <c r="A258" s="25"/>
      <c r="B258" s="21"/>
      <c r="C258" s="21"/>
      <c r="D258" s="21"/>
      <c r="E258" s="22"/>
      <c r="H258" s="14">
        <f t="shared" si="5"/>
        <v>0</v>
      </c>
      <c r="I258" s="26"/>
      <c r="J258" s="26"/>
      <c r="K258" s="26"/>
      <c r="L258" s="26"/>
      <c r="M258" s="26"/>
      <c r="N258" s="26"/>
    </row>
    <row r="259" spans="1:14" x14ac:dyDescent="0.25">
      <c r="A259" s="25"/>
      <c r="B259" s="21"/>
      <c r="C259" s="21"/>
      <c r="D259" s="21"/>
      <c r="E259" s="22"/>
      <c r="H259" s="14">
        <f t="shared" si="5"/>
        <v>0</v>
      </c>
      <c r="I259" s="26"/>
      <c r="J259" s="26"/>
      <c r="K259" s="26"/>
      <c r="L259" s="26"/>
      <c r="M259" s="26"/>
      <c r="N259" s="26"/>
    </row>
    <row r="260" spans="1:14" x14ac:dyDescent="0.25">
      <c r="A260" s="25"/>
      <c r="B260" s="21"/>
      <c r="C260" s="21"/>
      <c r="D260" s="21"/>
      <c r="E260" s="22"/>
      <c r="H260" s="14">
        <f t="shared" si="5"/>
        <v>0</v>
      </c>
      <c r="I260" s="26"/>
      <c r="J260" s="26"/>
      <c r="K260" s="26"/>
      <c r="L260" s="26"/>
      <c r="M260" s="26"/>
      <c r="N260" s="26"/>
    </row>
    <row r="261" spans="1:14" x14ac:dyDescent="0.25">
      <c r="A261" s="25"/>
      <c r="B261" s="21"/>
      <c r="C261" s="21"/>
      <c r="D261" s="21"/>
      <c r="E261" s="22"/>
      <c r="H261" s="14">
        <f t="shared" si="5"/>
        <v>0</v>
      </c>
      <c r="I261" s="26"/>
      <c r="J261" s="26"/>
      <c r="K261" s="26"/>
      <c r="L261" s="26"/>
      <c r="M261" s="26"/>
      <c r="N261" s="26"/>
    </row>
    <row r="262" spans="1:14" x14ac:dyDescent="0.25">
      <c r="A262" s="25"/>
      <c r="B262" s="21"/>
      <c r="C262" s="21"/>
      <c r="D262" s="21"/>
      <c r="E262" s="22"/>
      <c r="H262" s="14">
        <f t="shared" ref="H262:H325" si="6">IF(ISNUMBER(SEARCH("__PARAM0__",G262)),SUBSTITUTE(G262,"__PARAM0__","XYZ"),IF(ISNUMBER(SEARCH("__PARAM1__",G262)),SUBSTITUTE(G262,"__PARAM1__","ZYX"),G262))</f>
        <v>0</v>
      </c>
      <c r="I262" s="26"/>
      <c r="J262" s="26"/>
      <c r="K262" s="26"/>
      <c r="L262" s="26"/>
      <c r="M262" s="26"/>
      <c r="N262" s="26"/>
    </row>
    <row r="263" spans="1:14" x14ac:dyDescent="0.25">
      <c r="A263" s="25"/>
      <c r="B263" s="21"/>
      <c r="C263" s="21"/>
      <c r="D263" s="21"/>
      <c r="E263" s="22"/>
      <c r="H263" s="14">
        <f t="shared" si="6"/>
        <v>0</v>
      </c>
      <c r="I263" s="26"/>
      <c r="J263" s="26"/>
      <c r="K263" s="26"/>
      <c r="L263" s="26"/>
      <c r="M263" s="26"/>
      <c r="N263" s="26"/>
    </row>
    <row r="264" spans="1:14" x14ac:dyDescent="0.25">
      <c r="A264" s="25"/>
      <c r="B264" s="21"/>
      <c r="C264" s="21"/>
      <c r="D264" s="21"/>
      <c r="E264" s="22"/>
      <c r="H264" s="14">
        <f t="shared" si="6"/>
        <v>0</v>
      </c>
      <c r="I264" s="26"/>
      <c r="J264" s="26"/>
      <c r="K264" s="26"/>
      <c r="L264" s="26"/>
      <c r="M264" s="26"/>
      <c r="N264" s="26"/>
    </row>
    <row r="265" spans="1:14" x14ac:dyDescent="0.25">
      <c r="A265" s="25"/>
      <c r="B265" s="21"/>
      <c r="C265" s="21"/>
      <c r="D265" s="21"/>
      <c r="E265" s="22"/>
      <c r="H265" s="14">
        <f t="shared" si="6"/>
        <v>0</v>
      </c>
      <c r="I265" s="26"/>
      <c r="J265" s="26"/>
      <c r="K265" s="26"/>
      <c r="L265" s="26"/>
      <c r="M265" s="26"/>
      <c r="N265" s="26"/>
    </row>
    <row r="266" spans="1:14" x14ac:dyDescent="0.25">
      <c r="A266" s="25"/>
      <c r="B266" s="21"/>
      <c r="C266" s="21"/>
      <c r="D266" s="21"/>
      <c r="E266" s="22"/>
      <c r="H266" s="14">
        <f t="shared" si="6"/>
        <v>0</v>
      </c>
      <c r="I266" s="26"/>
      <c r="J266" s="26"/>
      <c r="K266" s="26"/>
      <c r="L266" s="26"/>
      <c r="M266" s="26"/>
      <c r="N266" s="26"/>
    </row>
    <row r="267" spans="1:14" x14ac:dyDescent="0.25">
      <c r="A267" s="25"/>
      <c r="B267" s="21"/>
      <c r="C267" s="21"/>
      <c r="D267" s="21"/>
      <c r="E267" s="22"/>
      <c r="H267" s="14">
        <f t="shared" si="6"/>
        <v>0</v>
      </c>
      <c r="I267" s="26"/>
      <c r="J267" s="26"/>
      <c r="K267" s="26"/>
      <c r="L267" s="26"/>
      <c r="M267" s="26"/>
      <c r="N267" s="26"/>
    </row>
    <row r="268" spans="1:14" x14ac:dyDescent="0.25">
      <c r="A268" s="25"/>
      <c r="B268" s="21"/>
      <c r="C268" s="21"/>
      <c r="D268" s="21"/>
      <c r="E268" s="22"/>
      <c r="H268" s="14">
        <f t="shared" si="6"/>
        <v>0</v>
      </c>
      <c r="I268" s="26"/>
      <c r="J268" s="26"/>
      <c r="K268" s="26"/>
      <c r="L268" s="26"/>
      <c r="M268" s="26"/>
      <c r="N268" s="26"/>
    </row>
    <row r="269" spans="1:14" x14ac:dyDescent="0.25">
      <c r="A269" s="25"/>
      <c r="B269" s="21"/>
      <c r="C269" s="21"/>
      <c r="D269" s="21"/>
      <c r="E269" s="22"/>
      <c r="H269" s="14">
        <f t="shared" si="6"/>
        <v>0</v>
      </c>
      <c r="I269" s="26"/>
      <c r="J269" s="26"/>
      <c r="K269" s="26"/>
      <c r="L269" s="26"/>
      <c r="M269" s="26"/>
      <c r="N269" s="26"/>
    </row>
    <row r="270" spans="1:14" x14ac:dyDescent="0.25">
      <c r="A270" s="25"/>
      <c r="B270" s="21"/>
      <c r="C270" s="21"/>
      <c r="D270" s="21"/>
      <c r="E270" s="22"/>
      <c r="H270" s="14">
        <f t="shared" si="6"/>
        <v>0</v>
      </c>
      <c r="I270" s="26"/>
      <c r="J270" s="26"/>
      <c r="K270" s="26"/>
      <c r="L270" s="26"/>
      <c r="M270" s="26"/>
      <c r="N270" s="26"/>
    </row>
    <row r="271" spans="1:14" x14ac:dyDescent="0.25">
      <c r="A271" s="25"/>
      <c r="B271" s="21"/>
      <c r="C271" s="21"/>
      <c r="D271" s="21"/>
      <c r="E271" s="22"/>
      <c r="H271" s="14">
        <f t="shared" si="6"/>
        <v>0</v>
      </c>
      <c r="I271" s="26"/>
      <c r="J271" s="26"/>
      <c r="K271" s="26"/>
      <c r="L271" s="26"/>
      <c r="M271" s="26"/>
      <c r="N271" s="26"/>
    </row>
    <row r="272" spans="1:14" x14ac:dyDescent="0.25">
      <c r="A272" s="25"/>
      <c r="B272" s="21"/>
      <c r="C272" s="21"/>
      <c r="D272" s="21"/>
      <c r="E272" s="22"/>
      <c r="H272" s="14">
        <f t="shared" si="6"/>
        <v>0</v>
      </c>
      <c r="I272" s="26"/>
      <c r="J272" s="26"/>
      <c r="K272" s="26"/>
      <c r="L272" s="26"/>
      <c r="M272" s="26"/>
      <c r="N272" s="26"/>
    </row>
    <row r="273" spans="1:14" x14ac:dyDescent="0.25">
      <c r="A273" s="25"/>
      <c r="B273" s="21"/>
      <c r="C273" s="21"/>
      <c r="D273" s="21"/>
      <c r="E273" s="22"/>
      <c r="H273" s="14">
        <f t="shared" si="6"/>
        <v>0</v>
      </c>
      <c r="I273" s="26"/>
      <c r="J273" s="26"/>
      <c r="K273" s="26"/>
      <c r="L273" s="26"/>
      <c r="M273" s="26"/>
      <c r="N273" s="26"/>
    </row>
    <row r="274" spans="1:14" x14ac:dyDescent="0.25">
      <c r="A274" s="25"/>
      <c r="B274" s="21"/>
      <c r="C274" s="21"/>
      <c r="D274" s="21"/>
      <c r="E274" s="22"/>
      <c r="H274" s="14">
        <f t="shared" si="6"/>
        <v>0</v>
      </c>
      <c r="I274" s="26"/>
      <c r="J274" s="26"/>
      <c r="K274" s="26"/>
      <c r="L274" s="26"/>
      <c r="M274" s="26"/>
      <c r="N274" s="26"/>
    </row>
    <row r="275" spans="1:14" x14ac:dyDescent="0.25">
      <c r="A275" s="25"/>
      <c r="B275" s="21"/>
      <c r="C275" s="21"/>
      <c r="D275" s="21"/>
      <c r="E275" s="22"/>
      <c r="H275" s="14">
        <f t="shared" si="6"/>
        <v>0</v>
      </c>
      <c r="I275" s="26"/>
      <c r="J275" s="26"/>
      <c r="K275" s="26"/>
      <c r="L275" s="26"/>
      <c r="M275" s="26"/>
      <c r="N275" s="26"/>
    </row>
    <row r="276" spans="1:14" x14ac:dyDescent="0.25">
      <c r="A276" s="25"/>
      <c r="B276" s="21"/>
      <c r="C276" s="21"/>
      <c r="D276" s="21"/>
      <c r="E276" s="22"/>
      <c r="H276" s="14">
        <f t="shared" si="6"/>
        <v>0</v>
      </c>
      <c r="I276" s="26"/>
      <c r="J276" s="26"/>
      <c r="K276" s="26"/>
      <c r="L276" s="26"/>
      <c r="M276" s="26"/>
      <c r="N276" s="26"/>
    </row>
    <row r="277" spans="1:14" x14ac:dyDescent="0.25">
      <c r="A277" s="25"/>
      <c r="B277" s="21"/>
      <c r="C277" s="21"/>
      <c r="D277" s="21"/>
      <c r="E277" s="22"/>
      <c r="H277" s="14">
        <f t="shared" si="6"/>
        <v>0</v>
      </c>
      <c r="I277" s="26"/>
      <c r="J277" s="26"/>
      <c r="K277" s="26"/>
      <c r="L277" s="26"/>
      <c r="M277" s="26"/>
      <c r="N277" s="26"/>
    </row>
    <row r="278" spans="1:14" x14ac:dyDescent="0.25">
      <c r="A278" s="25"/>
      <c r="B278" s="21"/>
      <c r="C278" s="21"/>
      <c r="D278" s="21"/>
      <c r="E278" s="22"/>
      <c r="H278" s="14">
        <f t="shared" si="6"/>
        <v>0</v>
      </c>
      <c r="I278" s="26"/>
      <c r="J278" s="26"/>
      <c r="K278" s="26"/>
      <c r="L278" s="26"/>
      <c r="M278" s="26"/>
      <c r="N278" s="26"/>
    </row>
    <row r="279" spans="1:14" x14ac:dyDescent="0.25">
      <c r="A279" s="25"/>
      <c r="B279" s="21"/>
      <c r="C279" s="21"/>
      <c r="D279" s="21"/>
      <c r="E279" s="22"/>
      <c r="H279" s="14">
        <f t="shared" si="6"/>
        <v>0</v>
      </c>
      <c r="I279" s="26"/>
      <c r="J279" s="26"/>
      <c r="K279" s="26"/>
      <c r="L279" s="26"/>
      <c r="M279" s="26"/>
      <c r="N279" s="26"/>
    </row>
    <row r="280" spans="1:14" x14ac:dyDescent="0.25">
      <c r="A280" s="25"/>
      <c r="B280" s="21"/>
      <c r="C280" s="21"/>
      <c r="D280" s="21"/>
      <c r="E280" s="22"/>
      <c r="H280" s="14">
        <f t="shared" si="6"/>
        <v>0</v>
      </c>
      <c r="I280" s="26"/>
      <c r="J280" s="26"/>
      <c r="K280" s="26"/>
      <c r="L280" s="26"/>
      <c r="M280" s="26"/>
      <c r="N280" s="26"/>
    </row>
    <row r="281" spans="1:14" x14ac:dyDescent="0.25">
      <c r="A281" s="25"/>
      <c r="B281" s="21"/>
      <c r="C281" s="21"/>
      <c r="D281" s="21"/>
      <c r="E281" s="22"/>
      <c r="H281" s="14">
        <f t="shared" si="6"/>
        <v>0</v>
      </c>
      <c r="I281" s="26"/>
      <c r="J281" s="26"/>
      <c r="K281" s="26"/>
      <c r="L281" s="26"/>
      <c r="M281" s="26"/>
      <c r="N281" s="26"/>
    </row>
    <row r="282" spans="1:14" x14ac:dyDescent="0.25">
      <c r="A282" s="25"/>
      <c r="B282" s="21"/>
      <c r="C282" s="21"/>
      <c r="D282" s="21"/>
      <c r="E282" s="22"/>
      <c r="H282" s="14">
        <f t="shared" si="6"/>
        <v>0</v>
      </c>
      <c r="I282" s="26"/>
      <c r="J282" s="26"/>
      <c r="K282" s="26"/>
      <c r="L282" s="26"/>
      <c r="M282" s="26"/>
      <c r="N282" s="26"/>
    </row>
    <row r="283" spans="1:14" x14ac:dyDescent="0.25">
      <c r="A283" s="25"/>
      <c r="B283" s="21"/>
      <c r="C283" s="21"/>
      <c r="D283" s="21"/>
      <c r="E283" s="22"/>
      <c r="H283" s="14">
        <f t="shared" si="6"/>
        <v>0</v>
      </c>
      <c r="I283" s="26"/>
      <c r="J283" s="26"/>
      <c r="K283" s="26"/>
      <c r="L283" s="26"/>
      <c r="M283" s="26"/>
      <c r="N283" s="26"/>
    </row>
    <row r="284" spans="1:14" x14ac:dyDescent="0.25">
      <c r="A284" s="25"/>
      <c r="B284" s="21"/>
      <c r="C284" s="21"/>
      <c r="D284" s="21"/>
      <c r="E284" s="22"/>
      <c r="H284" s="14">
        <f t="shared" si="6"/>
        <v>0</v>
      </c>
      <c r="I284" s="26"/>
      <c r="J284" s="26"/>
      <c r="K284" s="26"/>
      <c r="L284" s="26"/>
      <c r="M284" s="26"/>
      <c r="N284" s="26"/>
    </row>
    <row r="285" spans="1:14" x14ac:dyDescent="0.25">
      <c r="A285" s="25"/>
      <c r="B285" s="21"/>
      <c r="C285" s="21"/>
      <c r="D285" s="21"/>
      <c r="E285" s="22"/>
      <c r="H285" s="14">
        <f t="shared" si="6"/>
        <v>0</v>
      </c>
      <c r="I285" s="26"/>
      <c r="J285" s="26"/>
      <c r="K285" s="26"/>
      <c r="L285" s="26"/>
      <c r="M285" s="26"/>
      <c r="N285" s="26"/>
    </row>
    <row r="286" spans="1:14" x14ac:dyDescent="0.25">
      <c r="A286" s="25"/>
      <c r="B286" s="21"/>
      <c r="C286" s="21"/>
      <c r="D286" s="21"/>
      <c r="E286" s="22"/>
      <c r="H286" s="14">
        <f t="shared" si="6"/>
        <v>0</v>
      </c>
      <c r="I286" s="26"/>
      <c r="J286" s="26"/>
      <c r="K286" s="26"/>
      <c r="L286" s="26"/>
      <c r="M286" s="26"/>
      <c r="N286" s="26"/>
    </row>
    <row r="287" spans="1:14" x14ac:dyDescent="0.25">
      <c r="A287" s="25"/>
      <c r="B287" s="21"/>
      <c r="C287" s="21"/>
      <c r="D287" s="21"/>
      <c r="E287" s="22"/>
      <c r="H287" s="14">
        <f t="shared" si="6"/>
        <v>0</v>
      </c>
      <c r="I287" s="26"/>
      <c r="J287" s="26"/>
      <c r="K287" s="26"/>
      <c r="L287" s="26"/>
      <c r="M287" s="26"/>
      <c r="N287" s="26"/>
    </row>
    <row r="288" spans="1:14" x14ac:dyDescent="0.25">
      <c r="A288" s="25"/>
      <c r="B288" s="21"/>
      <c r="C288" s="21"/>
      <c r="D288" s="21"/>
      <c r="E288" s="22"/>
      <c r="H288" s="14">
        <f t="shared" si="6"/>
        <v>0</v>
      </c>
      <c r="I288" s="26"/>
      <c r="J288" s="26"/>
      <c r="K288" s="26"/>
      <c r="L288" s="26"/>
      <c r="M288" s="26"/>
      <c r="N288" s="26"/>
    </row>
    <row r="289" spans="1:14" x14ac:dyDescent="0.25">
      <c r="A289" s="25"/>
      <c r="B289" s="21"/>
      <c r="C289" s="21"/>
      <c r="D289" s="21"/>
      <c r="E289" s="22"/>
      <c r="H289" s="14">
        <f t="shared" si="6"/>
        <v>0</v>
      </c>
      <c r="I289" s="26"/>
      <c r="J289" s="26"/>
      <c r="K289" s="26"/>
      <c r="L289" s="26"/>
      <c r="M289" s="26"/>
      <c r="N289" s="26"/>
    </row>
    <row r="290" spans="1:14" x14ac:dyDescent="0.25">
      <c r="A290" s="25"/>
      <c r="B290" s="21"/>
      <c r="C290" s="21"/>
      <c r="D290" s="21"/>
      <c r="E290" s="22"/>
      <c r="H290" s="14">
        <f t="shared" si="6"/>
        <v>0</v>
      </c>
      <c r="I290" s="26"/>
      <c r="J290" s="26"/>
      <c r="K290" s="26"/>
      <c r="L290" s="26"/>
      <c r="M290" s="26"/>
      <c r="N290" s="26"/>
    </row>
    <row r="291" spans="1:14" x14ac:dyDescent="0.25">
      <c r="A291" s="25"/>
      <c r="B291" s="21"/>
      <c r="C291" s="21"/>
      <c r="D291" s="21"/>
      <c r="E291" s="22"/>
      <c r="H291" s="14">
        <f t="shared" si="6"/>
        <v>0</v>
      </c>
      <c r="I291" s="26"/>
      <c r="J291" s="26"/>
      <c r="K291" s="26"/>
      <c r="L291" s="26"/>
      <c r="M291" s="26"/>
      <c r="N291" s="26"/>
    </row>
    <row r="292" spans="1:14" x14ac:dyDescent="0.25">
      <c r="A292" s="25"/>
      <c r="B292" s="21"/>
      <c r="C292" s="21"/>
      <c r="D292" s="21"/>
      <c r="E292" s="22"/>
      <c r="H292" s="14">
        <f t="shared" si="6"/>
        <v>0</v>
      </c>
      <c r="I292" s="26"/>
      <c r="J292" s="26"/>
      <c r="K292" s="26"/>
      <c r="L292" s="26"/>
      <c r="M292" s="26"/>
      <c r="N292" s="26"/>
    </row>
    <row r="293" spans="1:14" x14ac:dyDescent="0.25">
      <c r="A293" s="25"/>
      <c r="B293" s="21"/>
      <c r="C293" s="21"/>
      <c r="D293" s="21"/>
      <c r="E293" s="22"/>
      <c r="H293" s="14">
        <f t="shared" si="6"/>
        <v>0</v>
      </c>
      <c r="I293" s="26"/>
      <c r="J293" s="26"/>
      <c r="K293" s="26"/>
      <c r="L293" s="26"/>
      <c r="M293" s="26"/>
      <c r="N293" s="26"/>
    </row>
    <row r="294" spans="1:14" x14ac:dyDescent="0.25">
      <c r="A294" s="25"/>
      <c r="B294" s="21"/>
      <c r="C294" s="21"/>
      <c r="D294" s="21"/>
      <c r="E294" s="22"/>
      <c r="H294" s="14">
        <f t="shared" si="6"/>
        <v>0</v>
      </c>
      <c r="I294" s="26"/>
      <c r="J294" s="26"/>
      <c r="K294" s="26"/>
      <c r="L294" s="26"/>
      <c r="M294" s="26"/>
      <c r="N294" s="26"/>
    </row>
    <row r="295" spans="1:14" x14ac:dyDescent="0.25">
      <c r="A295" s="25"/>
      <c r="B295" s="21"/>
      <c r="C295" s="21"/>
      <c r="D295" s="21"/>
      <c r="E295" s="22"/>
      <c r="H295" s="14">
        <f t="shared" si="6"/>
        <v>0</v>
      </c>
      <c r="I295" s="26"/>
      <c r="J295" s="26"/>
      <c r="K295" s="26"/>
      <c r="L295" s="26"/>
      <c r="M295" s="26"/>
      <c r="N295" s="26"/>
    </row>
    <row r="296" spans="1:14" x14ac:dyDescent="0.25">
      <c r="A296" s="25"/>
      <c r="B296" s="21"/>
      <c r="C296" s="21"/>
      <c r="D296" s="21"/>
      <c r="E296" s="22"/>
      <c r="H296" s="14">
        <f t="shared" si="6"/>
        <v>0</v>
      </c>
      <c r="I296" s="26"/>
      <c r="J296" s="26"/>
      <c r="K296" s="26"/>
      <c r="L296" s="26"/>
      <c r="M296" s="26"/>
      <c r="N296" s="26"/>
    </row>
    <row r="297" spans="1:14" x14ac:dyDescent="0.25">
      <c r="A297" s="25"/>
      <c r="B297" s="21"/>
      <c r="C297" s="21"/>
      <c r="D297" s="21"/>
      <c r="E297" s="22"/>
      <c r="H297" s="14">
        <f t="shared" si="6"/>
        <v>0</v>
      </c>
      <c r="I297" s="26"/>
      <c r="J297" s="26"/>
      <c r="K297" s="26"/>
      <c r="L297" s="26"/>
      <c r="M297" s="26"/>
      <c r="N297" s="26"/>
    </row>
    <row r="298" spans="1:14" x14ac:dyDescent="0.25">
      <c r="A298" s="25"/>
      <c r="B298" s="21"/>
      <c r="C298" s="21"/>
      <c r="D298" s="21"/>
      <c r="E298" s="22"/>
      <c r="H298" s="14">
        <f t="shared" si="6"/>
        <v>0</v>
      </c>
      <c r="I298" s="26"/>
      <c r="J298" s="26"/>
      <c r="K298" s="26"/>
      <c r="L298" s="26"/>
      <c r="M298" s="26"/>
      <c r="N298" s="26"/>
    </row>
    <row r="299" spans="1:14" x14ac:dyDescent="0.25">
      <c r="A299" s="25"/>
      <c r="B299" s="21"/>
      <c r="C299" s="21"/>
      <c r="D299" s="21"/>
      <c r="E299" s="22"/>
      <c r="H299" s="14">
        <f t="shared" si="6"/>
        <v>0</v>
      </c>
      <c r="I299" s="26"/>
      <c r="J299" s="26"/>
      <c r="K299" s="26"/>
      <c r="L299" s="26"/>
      <c r="M299" s="26"/>
      <c r="N299" s="26"/>
    </row>
    <row r="300" spans="1:14" x14ac:dyDescent="0.25">
      <c r="A300" s="25"/>
      <c r="B300" s="21"/>
      <c r="C300" s="21"/>
      <c r="D300" s="21"/>
      <c r="E300" s="22"/>
      <c r="H300" s="14">
        <f t="shared" si="6"/>
        <v>0</v>
      </c>
      <c r="I300" s="26"/>
      <c r="J300" s="26"/>
      <c r="K300" s="26"/>
      <c r="L300" s="26"/>
      <c r="M300" s="26"/>
      <c r="N300" s="26"/>
    </row>
    <row r="301" spans="1:14" x14ac:dyDescent="0.25">
      <c r="A301" s="25"/>
      <c r="B301" s="21"/>
      <c r="C301" s="21"/>
      <c r="D301" s="21"/>
      <c r="E301" s="22"/>
      <c r="H301" s="14">
        <f t="shared" si="6"/>
        <v>0</v>
      </c>
      <c r="I301" s="26"/>
      <c r="J301" s="26"/>
      <c r="K301" s="26"/>
      <c r="L301" s="26"/>
      <c r="M301" s="26"/>
      <c r="N301" s="26"/>
    </row>
    <row r="302" spans="1:14" x14ac:dyDescent="0.25">
      <c r="A302" s="25"/>
      <c r="B302" s="21"/>
      <c r="C302" s="21"/>
      <c r="D302" s="21"/>
      <c r="E302" s="22"/>
      <c r="H302" s="14">
        <f t="shared" si="6"/>
        <v>0</v>
      </c>
      <c r="I302" s="26"/>
      <c r="J302" s="26"/>
      <c r="K302" s="26"/>
      <c r="L302" s="26"/>
      <c r="M302" s="26"/>
      <c r="N302" s="26"/>
    </row>
    <row r="303" spans="1:14" x14ac:dyDescent="0.25">
      <c r="A303" s="25"/>
      <c r="B303" s="21"/>
      <c r="C303" s="21"/>
      <c r="D303" s="21"/>
      <c r="E303" s="22"/>
      <c r="H303" s="14">
        <f t="shared" si="6"/>
        <v>0</v>
      </c>
      <c r="I303" s="26"/>
      <c r="J303" s="26"/>
      <c r="K303" s="26"/>
      <c r="L303" s="26"/>
      <c r="M303" s="26"/>
      <c r="N303" s="26"/>
    </row>
    <row r="304" spans="1:14" x14ac:dyDescent="0.25">
      <c r="A304" s="25"/>
      <c r="B304" s="21"/>
      <c r="C304" s="21"/>
      <c r="D304" s="21"/>
      <c r="E304" s="22"/>
      <c r="H304" s="14">
        <f t="shared" si="6"/>
        <v>0</v>
      </c>
      <c r="I304" s="26"/>
      <c r="J304" s="26"/>
      <c r="K304" s="26"/>
      <c r="L304" s="26"/>
      <c r="M304" s="26"/>
      <c r="N304" s="26"/>
    </row>
    <row r="305" spans="1:14" x14ac:dyDescent="0.25">
      <c r="A305" s="25"/>
      <c r="B305" s="21"/>
      <c r="C305" s="21"/>
      <c r="D305" s="21"/>
      <c r="E305" s="22"/>
      <c r="H305" s="14">
        <f t="shared" si="6"/>
        <v>0</v>
      </c>
      <c r="I305" s="26"/>
      <c r="J305" s="26"/>
      <c r="K305" s="26"/>
      <c r="L305" s="26"/>
      <c r="M305" s="26"/>
      <c r="N305" s="26"/>
    </row>
    <row r="306" spans="1:14" x14ac:dyDescent="0.25">
      <c r="A306" s="25"/>
      <c r="B306" s="21"/>
      <c r="C306" s="21"/>
      <c r="D306" s="21"/>
      <c r="E306" s="22"/>
      <c r="H306" s="14">
        <f t="shared" si="6"/>
        <v>0</v>
      </c>
      <c r="I306" s="26"/>
      <c r="J306" s="26"/>
      <c r="K306" s="26"/>
      <c r="L306" s="26"/>
      <c r="M306" s="26"/>
      <c r="N306" s="26"/>
    </row>
    <row r="307" spans="1:14" x14ac:dyDescent="0.25">
      <c r="A307" s="25"/>
      <c r="B307" s="21"/>
      <c r="C307" s="21"/>
      <c r="D307" s="21"/>
      <c r="E307" s="22"/>
      <c r="H307" s="14">
        <f t="shared" si="6"/>
        <v>0</v>
      </c>
      <c r="I307" s="26"/>
      <c r="J307" s="26"/>
      <c r="K307" s="26"/>
      <c r="L307" s="26"/>
      <c r="M307" s="26"/>
      <c r="N307" s="26"/>
    </row>
    <row r="308" spans="1:14" x14ac:dyDescent="0.25">
      <c r="A308" s="25"/>
      <c r="B308" s="21"/>
      <c r="C308" s="21"/>
      <c r="D308" s="21"/>
      <c r="E308" s="22"/>
      <c r="H308" s="14">
        <f t="shared" si="6"/>
        <v>0</v>
      </c>
      <c r="I308" s="26"/>
      <c r="J308" s="26"/>
      <c r="K308" s="26"/>
      <c r="L308" s="26"/>
      <c r="M308" s="26"/>
      <c r="N308" s="26"/>
    </row>
    <row r="309" spans="1:14" x14ac:dyDescent="0.25">
      <c r="A309" s="25"/>
      <c r="B309" s="21"/>
      <c r="C309" s="21"/>
      <c r="D309" s="21"/>
      <c r="E309" s="22"/>
      <c r="H309" s="14">
        <f t="shared" si="6"/>
        <v>0</v>
      </c>
      <c r="I309" s="26"/>
      <c r="J309" s="26"/>
      <c r="K309" s="26"/>
      <c r="L309" s="26"/>
      <c r="M309" s="26"/>
      <c r="N309" s="26"/>
    </row>
    <row r="310" spans="1:14" x14ac:dyDescent="0.25">
      <c r="A310" s="25"/>
      <c r="B310" s="21"/>
      <c r="C310" s="21"/>
      <c r="D310" s="21"/>
      <c r="E310" s="22"/>
      <c r="H310" s="14">
        <f t="shared" si="6"/>
        <v>0</v>
      </c>
      <c r="I310" s="26"/>
      <c r="J310" s="26"/>
      <c r="K310" s="26"/>
      <c r="L310" s="26"/>
      <c r="M310" s="26"/>
      <c r="N310" s="26"/>
    </row>
    <row r="311" spans="1:14" x14ac:dyDescent="0.25">
      <c r="A311" s="25"/>
      <c r="B311" s="21"/>
      <c r="C311" s="21"/>
      <c r="D311" s="21"/>
      <c r="E311" s="22"/>
      <c r="H311" s="14">
        <f t="shared" si="6"/>
        <v>0</v>
      </c>
      <c r="I311" s="26"/>
      <c r="J311" s="26"/>
      <c r="K311" s="26"/>
      <c r="L311" s="26"/>
      <c r="M311" s="26"/>
      <c r="N311" s="26"/>
    </row>
    <row r="312" spans="1:14" x14ac:dyDescent="0.25">
      <c r="A312" s="25"/>
      <c r="B312" s="21"/>
      <c r="C312" s="21"/>
      <c r="D312" s="21"/>
      <c r="E312" s="22"/>
      <c r="H312" s="14">
        <f t="shared" si="6"/>
        <v>0</v>
      </c>
      <c r="I312" s="26"/>
      <c r="J312" s="26"/>
      <c r="K312" s="26"/>
      <c r="L312" s="26"/>
      <c r="M312" s="26"/>
      <c r="N312" s="26"/>
    </row>
    <row r="313" spans="1:14" x14ac:dyDescent="0.25">
      <c r="A313" s="25"/>
      <c r="B313" s="21"/>
      <c r="C313" s="21"/>
      <c r="D313" s="21"/>
      <c r="E313" s="22"/>
      <c r="H313" s="14">
        <f t="shared" si="6"/>
        <v>0</v>
      </c>
      <c r="I313" s="26"/>
      <c r="J313" s="26"/>
      <c r="K313" s="26"/>
      <c r="L313" s="26"/>
      <c r="M313" s="26"/>
      <c r="N313" s="26"/>
    </row>
    <row r="314" spans="1:14" x14ac:dyDescent="0.25">
      <c r="A314" s="25"/>
      <c r="B314" s="21"/>
      <c r="C314" s="21"/>
      <c r="D314" s="21"/>
      <c r="E314" s="22"/>
      <c r="H314" s="14">
        <f t="shared" si="6"/>
        <v>0</v>
      </c>
      <c r="I314" s="26"/>
      <c r="J314" s="26"/>
      <c r="K314" s="26"/>
      <c r="L314" s="26"/>
      <c r="M314" s="26"/>
      <c r="N314" s="26"/>
    </row>
    <row r="315" spans="1:14" x14ac:dyDescent="0.25">
      <c r="A315" s="25"/>
      <c r="B315" s="21"/>
      <c r="C315" s="21"/>
      <c r="D315" s="21"/>
      <c r="E315" s="22"/>
      <c r="H315" s="14">
        <f t="shared" si="6"/>
        <v>0</v>
      </c>
      <c r="I315" s="26"/>
      <c r="J315" s="26"/>
      <c r="K315" s="26"/>
      <c r="L315" s="26"/>
      <c r="M315" s="26"/>
      <c r="N315" s="26"/>
    </row>
    <row r="316" spans="1:14" x14ac:dyDescent="0.25">
      <c r="A316" s="25"/>
      <c r="B316" s="21"/>
      <c r="C316" s="21"/>
      <c r="D316" s="21"/>
      <c r="E316" s="22"/>
      <c r="H316" s="14">
        <f t="shared" si="6"/>
        <v>0</v>
      </c>
      <c r="I316" s="26"/>
      <c r="J316" s="26"/>
      <c r="K316" s="26"/>
      <c r="L316" s="26"/>
      <c r="M316" s="26"/>
      <c r="N316" s="26"/>
    </row>
    <row r="317" spans="1:14" x14ac:dyDescent="0.25">
      <c r="A317" s="25"/>
      <c r="B317" s="21"/>
      <c r="C317" s="21"/>
      <c r="D317" s="21"/>
      <c r="E317" s="22"/>
      <c r="H317" s="14">
        <f t="shared" si="6"/>
        <v>0</v>
      </c>
      <c r="I317" s="26"/>
      <c r="J317" s="26"/>
      <c r="K317" s="26"/>
      <c r="L317" s="26"/>
      <c r="M317" s="26"/>
      <c r="N317" s="26"/>
    </row>
    <row r="318" spans="1:14" x14ac:dyDescent="0.25">
      <c r="A318" s="25"/>
      <c r="B318" s="21"/>
      <c r="C318" s="21"/>
      <c r="D318" s="21"/>
      <c r="E318" s="22"/>
      <c r="H318" s="14">
        <f t="shared" si="6"/>
        <v>0</v>
      </c>
      <c r="I318" s="26"/>
      <c r="J318" s="26"/>
      <c r="K318" s="26"/>
      <c r="L318" s="26"/>
      <c r="M318" s="26"/>
      <c r="N318" s="26"/>
    </row>
    <row r="319" spans="1:14" x14ac:dyDescent="0.25">
      <c r="A319" s="25"/>
      <c r="B319" s="21"/>
      <c r="C319" s="21"/>
      <c r="D319" s="21"/>
      <c r="E319" s="22"/>
      <c r="H319" s="14">
        <f t="shared" si="6"/>
        <v>0</v>
      </c>
      <c r="I319" s="26"/>
      <c r="J319" s="26"/>
      <c r="K319" s="26"/>
      <c r="L319" s="26"/>
      <c r="M319" s="26"/>
      <c r="N319" s="26"/>
    </row>
    <row r="320" spans="1:14" x14ac:dyDescent="0.25">
      <c r="A320" s="25"/>
      <c r="B320" s="21"/>
      <c r="C320" s="21"/>
      <c r="D320" s="21"/>
      <c r="E320" s="22"/>
      <c r="H320" s="14">
        <f t="shared" si="6"/>
        <v>0</v>
      </c>
      <c r="I320" s="26"/>
      <c r="J320" s="26"/>
      <c r="K320" s="26"/>
      <c r="L320" s="26"/>
      <c r="M320" s="26"/>
      <c r="N320" s="26"/>
    </row>
    <row r="321" spans="1:14" x14ac:dyDescent="0.25">
      <c r="A321" s="25"/>
      <c r="B321" s="21"/>
      <c r="C321" s="21"/>
      <c r="D321" s="21"/>
      <c r="E321" s="22"/>
      <c r="H321" s="14">
        <f t="shared" si="6"/>
        <v>0</v>
      </c>
      <c r="I321" s="26"/>
      <c r="J321" s="26"/>
      <c r="K321" s="26"/>
      <c r="L321" s="26"/>
      <c r="M321" s="26"/>
      <c r="N321" s="26"/>
    </row>
    <row r="322" spans="1:14" x14ac:dyDescent="0.25">
      <c r="A322" s="25"/>
      <c r="B322" s="21"/>
      <c r="C322" s="21"/>
      <c r="D322" s="21"/>
      <c r="E322" s="22"/>
      <c r="H322" s="14">
        <f t="shared" si="6"/>
        <v>0</v>
      </c>
      <c r="I322" s="26"/>
      <c r="J322" s="26"/>
      <c r="K322" s="26"/>
      <c r="L322" s="26"/>
      <c r="M322" s="26"/>
      <c r="N322" s="26"/>
    </row>
    <row r="323" spans="1:14" x14ac:dyDescent="0.25">
      <c r="A323" s="25"/>
      <c r="B323" s="21"/>
      <c r="C323" s="21"/>
      <c r="D323" s="21"/>
      <c r="E323" s="22"/>
      <c r="H323" s="14">
        <f t="shared" si="6"/>
        <v>0</v>
      </c>
      <c r="I323" s="26"/>
      <c r="J323" s="26"/>
      <c r="K323" s="26"/>
      <c r="L323" s="26"/>
      <c r="M323" s="26"/>
      <c r="N323" s="26"/>
    </row>
    <row r="324" spans="1:14" x14ac:dyDescent="0.25">
      <c r="A324" s="25"/>
      <c r="B324" s="21"/>
      <c r="C324" s="21"/>
      <c r="D324" s="21"/>
      <c r="E324" s="22"/>
      <c r="H324" s="14">
        <f t="shared" si="6"/>
        <v>0</v>
      </c>
      <c r="I324" s="26"/>
      <c r="J324" s="26"/>
      <c r="K324" s="26"/>
      <c r="L324" s="26"/>
      <c r="M324" s="26"/>
      <c r="N324" s="26"/>
    </row>
    <row r="325" spans="1:14" x14ac:dyDescent="0.25">
      <c r="A325" s="25"/>
      <c r="B325" s="21"/>
      <c r="C325" s="21"/>
      <c r="D325" s="21"/>
      <c r="E325" s="22"/>
      <c r="H325" s="14">
        <f t="shared" si="6"/>
        <v>0</v>
      </c>
      <c r="I325" s="26"/>
      <c r="J325" s="26"/>
      <c r="K325" s="26"/>
      <c r="L325" s="26"/>
      <c r="M325" s="26"/>
      <c r="N325" s="26"/>
    </row>
    <row r="326" spans="1:14" x14ac:dyDescent="0.25">
      <c r="A326" s="25"/>
      <c r="B326" s="21"/>
      <c r="C326" s="21"/>
      <c r="D326" s="21"/>
      <c r="E326" s="22"/>
      <c r="H326" s="14">
        <f t="shared" ref="H326:H389" si="7">IF(ISNUMBER(SEARCH("__PARAM0__",G326)),SUBSTITUTE(G326,"__PARAM0__","XYZ"),IF(ISNUMBER(SEARCH("__PARAM1__",G326)),SUBSTITUTE(G326,"__PARAM1__","ZYX"),G326))</f>
        <v>0</v>
      </c>
      <c r="I326" s="26"/>
      <c r="J326" s="26"/>
      <c r="K326" s="26"/>
      <c r="L326" s="26"/>
      <c r="M326" s="26"/>
      <c r="N326" s="26"/>
    </row>
    <row r="327" spans="1:14" x14ac:dyDescent="0.25">
      <c r="A327" s="25"/>
      <c r="B327" s="21"/>
      <c r="C327" s="21"/>
      <c r="D327" s="21"/>
      <c r="E327" s="22"/>
      <c r="H327" s="14">
        <f t="shared" si="7"/>
        <v>0</v>
      </c>
      <c r="I327" s="26"/>
      <c r="J327" s="26"/>
      <c r="K327" s="26"/>
      <c r="L327" s="26"/>
      <c r="M327" s="26"/>
      <c r="N327" s="26"/>
    </row>
    <row r="328" spans="1:14" x14ac:dyDescent="0.25">
      <c r="A328" s="25"/>
      <c r="B328" s="21"/>
      <c r="C328" s="21"/>
      <c r="D328" s="21"/>
      <c r="E328" s="22"/>
      <c r="H328" s="14">
        <f t="shared" si="7"/>
        <v>0</v>
      </c>
      <c r="I328" s="26"/>
      <c r="J328" s="26"/>
      <c r="K328" s="26"/>
      <c r="L328" s="26"/>
      <c r="M328" s="26"/>
      <c r="N328" s="26"/>
    </row>
    <row r="329" spans="1:14" x14ac:dyDescent="0.25">
      <c r="A329" s="25"/>
      <c r="B329" s="21"/>
      <c r="C329" s="21"/>
      <c r="D329" s="21"/>
      <c r="E329" s="22"/>
      <c r="H329" s="14">
        <f t="shared" si="7"/>
        <v>0</v>
      </c>
      <c r="I329" s="26"/>
      <c r="J329" s="26"/>
      <c r="K329" s="26"/>
      <c r="L329" s="26"/>
      <c r="M329" s="26"/>
      <c r="N329" s="26"/>
    </row>
    <row r="330" spans="1:14" x14ac:dyDescent="0.25">
      <c r="A330" s="25"/>
      <c r="B330" s="21"/>
      <c r="C330" s="21"/>
      <c r="D330" s="21"/>
      <c r="E330" s="22"/>
      <c r="H330" s="14">
        <f t="shared" si="7"/>
        <v>0</v>
      </c>
      <c r="I330" s="26"/>
      <c r="J330" s="26"/>
      <c r="K330" s="26"/>
      <c r="L330" s="26"/>
      <c r="M330" s="26"/>
      <c r="N330" s="26"/>
    </row>
    <row r="331" spans="1:14" x14ac:dyDescent="0.25">
      <c r="A331" s="25"/>
      <c r="B331" s="21"/>
      <c r="C331" s="21"/>
      <c r="D331" s="21"/>
      <c r="E331" s="22"/>
      <c r="H331" s="14">
        <f t="shared" si="7"/>
        <v>0</v>
      </c>
      <c r="I331" s="26"/>
      <c r="J331" s="26"/>
      <c r="K331" s="26"/>
      <c r="L331" s="26"/>
      <c r="M331" s="26"/>
      <c r="N331" s="26"/>
    </row>
    <row r="332" spans="1:14" x14ac:dyDescent="0.25">
      <c r="A332" s="25"/>
      <c r="B332" s="21"/>
      <c r="C332" s="21"/>
      <c r="D332" s="21"/>
      <c r="E332" s="22"/>
      <c r="H332" s="14">
        <f t="shared" si="7"/>
        <v>0</v>
      </c>
      <c r="I332" s="26"/>
      <c r="J332" s="26"/>
      <c r="K332" s="26"/>
      <c r="L332" s="26"/>
      <c r="M332" s="26"/>
      <c r="N332" s="26"/>
    </row>
    <row r="333" spans="1:14" x14ac:dyDescent="0.25">
      <c r="A333" s="25"/>
      <c r="B333" s="21"/>
      <c r="C333" s="21"/>
      <c r="D333" s="21"/>
      <c r="E333" s="22"/>
      <c r="H333" s="14">
        <f t="shared" si="7"/>
        <v>0</v>
      </c>
      <c r="I333" s="26"/>
      <c r="J333" s="26"/>
      <c r="K333" s="26"/>
      <c r="L333" s="26"/>
      <c r="M333" s="26"/>
      <c r="N333" s="26"/>
    </row>
    <row r="334" spans="1:14" x14ac:dyDescent="0.25">
      <c r="A334" s="25"/>
      <c r="B334" s="21"/>
      <c r="C334" s="21"/>
      <c r="D334" s="21"/>
      <c r="E334" s="22"/>
      <c r="H334" s="14">
        <f t="shared" si="7"/>
        <v>0</v>
      </c>
      <c r="I334" s="26"/>
      <c r="J334" s="26"/>
      <c r="K334" s="26"/>
      <c r="L334" s="26"/>
      <c r="M334" s="26"/>
      <c r="N334" s="26"/>
    </row>
    <row r="335" spans="1:14" x14ac:dyDescent="0.25">
      <c r="A335" s="25"/>
      <c r="B335" s="21"/>
      <c r="C335" s="21"/>
      <c r="D335" s="21"/>
      <c r="E335" s="22"/>
      <c r="H335" s="14">
        <f t="shared" si="7"/>
        <v>0</v>
      </c>
      <c r="I335" s="26"/>
      <c r="J335" s="26"/>
      <c r="K335" s="26"/>
      <c r="L335" s="26"/>
      <c r="M335" s="26"/>
      <c r="N335" s="26"/>
    </row>
    <row r="336" spans="1:14" x14ac:dyDescent="0.25">
      <c r="A336" s="25"/>
      <c r="B336" s="21"/>
      <c r="C336" s="21"/>
      <c r="D336" s="21"/>
      <c r="E336" s="22"/>
      <c r="H336" s="14">
        <f t="shared" si="7"/>
        <v>0</v>
      </c>
      <c r="I336" s="26"/>
      <c r="J336" s="26"/>
      <c r="K336" s="26"/>
      <c r="L336" s="26"/>
      <c r="M336" s="26"/>
      <c r="N336" s="26"/>
    </row>
    <row r="337" spans="1:14" x14ac:dyDescent="0.25">
      <c r="A337" s="25"/>
      <c r="B337" s="21"/>
      <c r="C337" s="21"/>
      <c r="D337" s="21"/>
      <c r="E337" s="22"/>
      <c r="H337" s="14">
        <f t="shared" si="7"/>
        <v>0</v>
      </c>
      <c r="I337" s="26"/>
      <c r="J337" s="26"/>
      <c r="K337" s="26"/>
      <c r="L337" s="26"/>
      <c r="M337" s="26"/>
      <c r="N337" s="26"/>
    </row>
    <row r="338" spans="1:14" x14ac:dyDescent="0.25">
      <c r="A338" s="25"/>
      <c r="B338" s="21"/>
      <c r="C338" s="21"/>
      <c r="D338" s="21"/>
      <c r="E338" s="22"/>
      <c r="H338" s="14">
        <f t="shared" si="7"/>
        <v>0</v>
      </c>
      <c r="I338" s="26"/>
      <c r="J338" s="26"/>
      <c r="K338" s="26"/>
      <c r="L338" s="26"/>
      <c r="M338" s="26"/>
      <c r="N338" s="26"/>
    </row>
    <row r="339" spans="1:14" x14ac:dyDescent="0.25">
      <c r="A339" s="25"/>
      <c r="B339" s="21"/>
      <c r="C339" s="21"/>
      <c r="D339" s="21"/>
      <c r="E339" s="22"/>
      <c r="H339" s="14">
        <f t="shared" si="7"/>
        <v>0</v>
      </c>
      <c r="I339" s="26"/>
      <c r="J339" s="26"/>
      <c r="K339" s="26"/>
      <c r="L339" s="26"/>
      <c r="M339" s="26"/>
      <c r="N339" s="26"/>
    </row>
    <row r="340" spans="1:14" x14ac:dyDescent="0.25">
      <c r="A340" s="25"/>
      <c r="B340" s="21"/>
      <c r="C340" s="21"/>
      <c r="D340" s="21"/>
      <c r="E340" s="22"/>
      <c r="H340" s="14">
        <f t="shared" si="7"/>
        <v>0</v>
      </c>
      <c r="I340" s="26"/>
      <c r="J340" s="26"/>
      <c r="K340" s="26"/>
      <c r="L340" s="26"/>
      <c r="M340" s="26"/>
      <c r="N340" s="26"/>
    </row>
    <row r="341" spans="1:14" x14ac:dyDescent="0.25">
      <c r="A341" s="25"/>
      <c r="B341" s="21"/>
      <c r="C341" s="21"/>
      <c r="D341" s="21"/>
      <c r="E341" s="22"/>
      <c r="H341" s="14">
        <f t="shared" si="7"/>
        <v>0</v>
      </c>
      <c r="I341" s="26"/>
      <c r="J341" s="26"/>
      <c r="K341" s="26"/>
      <c r="L341" s="26"/>
      <c r="M341" s="26"/>
      <c r="N341" s="26"/>
    </row>
    <row r="342" spans="1:14" x14ac:dyDescent="0.25">
      <c r="A342" s="25"/>
      <c r="B342" s="21"/>
      <c r="C342" s="21"/>
      <c r="D342" s="21"/>
      <c r="E342" s="22"/>
      <c r="H342" s="14">
        <f t="shared" si="7"/>
        <v>0</v>
      </c>
      <c r="I342" s="26"/>
      <c r="J342" s="26"/>
      <c r="K342" s="26"/>
      <c r="L342" s="26"/>
      <c r="M342" s="26"/>
      <c r="N342" s="26"/>
    </row>
    <row r="343" spans="1:14" x14ac:dyDescent="0.25">
      <c r="A343" s="25"/>
      <c r="B343" s="21"/>
      <c r="C343" s="21"/>
      <c r="D343" s="21"/>
      <c r="E343" s="22"/>
      <c r="H343" s="14">
        <f t="shared" si="7"/>
        <v>0</v>
      </c>
      <c r="I343" s="26"/>
      <c r="J343" s="26"/>
      <c r="K343" s="26"/>
      <c r="L343" s="26"/>
      <c r="M343" s="26"/>
      <c r="N343" s="26"/>
    </row>
    <row r="344" spans="1:14" x14ac:dyDescent="0.25">
      <c r="A344" s="25"/>
      <c r="B344" s="21"/>
      <c r="C344" s="21"/>
      <c r="D344" s="21"/>
      <c r="E344" s="22"/>
      <c r="H344" s="14">
        <f t="shared" si="7"/>
        <v>0</v>
      </c>
      <c r="I344" s="26"/>
      <c r="J344" s="26"/>
      <c r="K344" s="26"/>
      <c r="L344" s="26"/>
      <c r="M344" s="26"/>
      <c r="N344" s="26"/>
    </row>
    <row r="345" spans="1:14" x14ac:dyDescent="0.25">
      <c r="A345" s="25"/>
      <c r="B345" s="21"/>
      <c r="C345" s="21"/>
      <c r="D345" s="21"/>
      <c r="E345" s="22"/>
      <c r="H345" s="14">
        <f t="shared" si="7"/>
        <v>0</v>
      </c>
      <c r="I345" s="26"/>
      <c r="J345" s="26"/>
      <c r="K345" s="26"/>
      <c r="L345" s="26"/>
      <c r="M345" s="26"/>
      <c r="N345" s="26"/>
    </row>
    <row r="346" spans="1:14" x14ac:dyDescent="0.25">
      <c r="A346" s="25"/>
      <c r="B346" s="21"/>
      <c r="C346" s="21"/>
      <c r="D346" s="21"/>
      <c r="E346" s="22"/>
      <c r="H346" s="14">
        <f t="shared" si="7"/>
        <v>0</v>
      </c>
      <c r="I346" s="26"/>
      <c r="J346" s="26"/>
      <c r="K346" s="26"/>
      <c r="L346" s="26"/>
      <c r="M346" s="26"/>
      <c r="N346" s="26"/>
    </row>
    <row r="347" spans="1:14" x14ac:dyDescent="0.25">
      <c r="A347" s="25"/>
      <c r="B347" s="21"/>
      <c r="C347" s="21"/>
      <c r="D347" s="21"/>
      <c r="E347" s="22"/>
      <c r="H347" s="14">
        <f t="shared" si="7"/>
        <v>0</v>
      </c>
      <c r="I347" s="26"/>
      <c r="J347" s="26"/>
      <c r="K347" s="26"/>
      <c r="L347" s="26"/>
      <c r="M347" s="26"/>
      <c r="N347" s="26"/>
    </row>
    <row r="348" spans="1:14" x14ac:dyDescent="0.25">
      <c r="A348" s="25"/>
      <c r="B348" s="21"/>
      <c r="C348" s="21"/>
      <c r="D348" s="21"/>
      <c r="E348" s="22"/>
      <c r="H348" s="14">
        <f t="shared" si="7"/>
        <v>0</v>
      </c>
      <c r="I348" s="26"/>
      <c r="J348" s="26"/>
      <c r="K348" s="26"/>
      <c r="L348" s="26"/>
      <c r="M348" s="26"/>
      <c r="N348" s="26"/>
    </row>
    <row r="349" spans="1:14" x14ac:dyDescent="0.25">
      <c r="A349" s="25"/>
      <c r="B349" s="21"/>
      <c r="C349" s="21"/>
      <c r="D349" s="21"/>
      <c r="E349" s="22"/>
      <c r="H349" s="14">
        <f t="shared" si="7"/>
        <v>0</v>
      </c>
      <c r="I349" s="26"/>
      <c r="J349" s="26"/>
      <c r="K349" s="26"/>
      <c r="L349" s="26"/>
      <c r="M349" s="26"/>
      <c r="N349" s="26"/>
    </row>
    <row r="350" spans="1:14" x14ac:dyDescent="0.25">
      <c r="A350" s="25"/>
      <c r="B350" s="21"/>
      <c r="C350" s="21"/>
      <c r="D350" s="21"/>
      <c r="E350" s="22"/>
      <c r="H350" s="14">
        <f t="shared" si="7"/>
        <v>0</v>
      </c>
      <c r="I350" s="26"/>
      <c r="J350" s="26"/>
      <c r="K350" s="26"/>
      <c r="L350" s="26"/>
      <c r="M350" s="26"/>
      <c r="N350" s="26"/>
    </row>
    <row r="351" spans="1:14" x14ac:dyDescent="0.25">
      <c r="A351" s="25"/>
      <c r="B351" s="21"/>
      <c r="C351" s="21"/>
      <c r="D351" s="21"/>
      <c r="E351" s="22"/>
      <c r="H351" s="14">
        <f t="shared" si="7"/>
        <v>0</v>
      </c>
      <c r="I351" s="26"/>
      <c r="J351" s="26"/>
      <c r="K351" s="26"/>
      <c r="L351" s="26"/>
      <c r="M351" s="26"/>
      <c r="N351" s="26"/>
    </row>
    <row r="352" spans="1:14" x14ac:dyDescent="0.25">
      <c r="A352" s="25"/>
      <c r="B352" s="21"/>
      <c r="C352" s="21"/>
      <c r="D352" s="21"/>
      <c r="E352" s="22"/>
      <c r="H352" s="14">
        <f t="shared" si="7"/>
        <v>0</v>
      </c>
      <c r="I352" s="26"/>
      <c r="J352" s="26"/>
      <c r="K352" s="26"/>
      <c r="L352" s="26"/>
      <c r="M352" s="26"/>
      <c r="N352" s="26"/>
    </row>
    <row r="353" spans="1:14" x14ac:dyDescent="0.25">
      <c r="A353" s="25"/>
      <c r="B353" s="21"/>
      <c r="C353" s="21"/>
      <c r="D353" s="21"/>
      <c r="E353" s="22"/>
      <c r="H353" s="14">
        <f t="shared" si="7"/>
        <v>0</v>
      </c>
      <c r="I353" s="26"/>
      <c r="J353" s="26"/>
      <c r="K353" s="26"/>
      <c r="L353" s="26"/>
      <c r="M353" s="26"/>
      <c r="N353" s="26"/>
    </row>
    <row r="354" spans="1:14" x14ac:dyDescent="0.25">
      <c r="A354" s="25"/>
      <c r="B354" s="21"/>
      <c r="C354" s="21"/>
      <c r="D354" s="21"/>
      <c r="E354" s="22"/>
      <c r="H354" s="14">
        <f t="shared" si="7"/>
        <v>0</v>
      </c>
      <c r="I354" s="26"/>
      <c r="J354" s="26"/>
      <c r="K354" s="26"/>
      <c r="L354" s="26"/>
      <c r="M354" s="26"/>
      <c r="N354" s="26"/>
    </row>
    <row r="355" spans="1:14" x14ac:dyDescent="0.25">
      <c r="A355" s="25"/>
      <c r="B355" s="21"/>
      <c r="C355" s="21"/>
      <c r="D355" s="21"/>
      <c r="E355" s="22"/>
      <c r="H355" s="14">
        <f t="shared" si="7"/>
        <v>0</v>
      </c>
      <c r="I355" s="26"/>
      <c r="J355" s="26"/>
      <c r="K355" s="26"/>
      <c r="L355" s="26"/>
      <c r="M355" s="26"/>
      <c r="N355" s="26"/>
    </row>
    <row r="356" spans="1:14" x14ac:dyDescent="0.25">
      <c r="A356" s="25"/>
      <c r="B356" s="21"/>
      <c r="C356" s="21"/>
      <c r="D356" s="21"/>
      <c r="E356" s="22"/>
      <c r="H356" s="14">
        <f t="shared" si="7"/>
        <v>0</v>
      </c>
      <c r="I356" s="26"/>
      <c r="J356" s="26"/>
      <c r="K356" s="26"/>
      <c r="L356" s="26"/>
      <c r="M356" s="26"/>
      <c r="N356" s="26"/>
    </row>
    <row r="357" spans="1:14" x14ac:dyDescent="0.25">
      <c r="A357" s="25"/>
      <c r="B357" s="21"/>
      <c r="C357" s="21"/>
      <c r="D357" s="21"/>
      <c r="E357" s="22"/>
      <c r="H357" s="14">
        <f t="shared" si="7"/>
        <v>0</v>
      </c>
      <c r="I357" s="26"/>
      <c r="J357" s="26"/>
      <c r="K357" s="26"/>
      <c r="L357" s="26"/>
      <c r="M357" s="26"/>
      <c r="N357" s="26"/>
    </row>
    <row r="358" spans="1:14" x14ac:dyDescent="0.25">
      <c r="A358" s="25"/>
      <c r="B358" s="21"/>
      <c r="C358" s="21"/>
      <c r="D358" s="21"/>
      <c r="E358" s="22"/>
      <c r="H358" s="14">
        <f t="shared" si="7"/>
        <v>0</v>
      </c>
      <c r="I358" s="26"/>
      <c r="J358" s="26"/>
      <c r="K358" s="26"/>
      <c r="L358" s="26"/>
      <c r="M358" s="26"/>
      <c r="N358" s="26"/>
    </row>
    <row r="359" spans="1:14" x14ac:dyDescent="0.25">
      <c r="A359" s="25"/>
      <c r="B359" s="21"/>
      <c r="C359" s="21"/>
      <c r="D359" s="21"/>
      <c r="E359" s="22"/>
      <c r="H359" s="14">
        <f t="shared" si="7"/>
        <v>0</v>
      </c>
      <c r="I359" s="26"/>
      <c r="J359" s="26"/>
      <c r="K359" s="26"/>
      <c r="L359" s="26"/>
      <c r="M359" s="26"/>
      <c r="N359" s="26"/>
    </row>
    <row r="360" spans="1:14" x14ac:dyDescent="0.25">
      <c r="A360" s="25"/>
      <c r="B360" s="21"/>
      <c r="C360" s="21"/>
      <c r="D360" s="21"/>
      <c r="E360" s="22"/>
      <c r="H360" s="14">
        <f t="shared" si="7"/>
        <v>0</v>
      </c>
      <c r="I360" s="26"/>
      <c r="J360" s="26"/>
      <c r="K360" s="26"/>
      <c r="L360" s="26"/>
      <c r="M360" s="26"/>
      <c r="N360" s="26"/>
    </row>
    <row r="361" spans="1:14" x14ac:dyDescent="0.25">
      <c r="A361" s="25"/>
      <c r="B361" s="21"/>
      <c r="C361" s="21"/>
      <c r="D361" s="21"/>
      <c r="E361" s="22"/>
      <c r="H361" s="14">
        <f t="shared" si="7"/>
        <v>0</v>
      </c>
      <c r="I361" s="26"/>
      <c r="J361" s="26"/>
      <c r="K361" s="26"/>
      <c r="L361" s="26"/>
      <c r="M361" s="26"/>
      <c r="N361" s="26"/>
    </row>
    <row r="362" spans="1:14" x14ac:dyDescent="0.25">
      <c r="A362" s="25"/>
      <c r="B362" s="21"/>
      <c r="C362" s="21"/>
      <c r="D362" s="21"/>
      <c r="E362" s="22"/>
      <c r="H362" s="14">
        <f t="shared" si="7"/>
        <v>0</v>
      </c>
      <c r="I362" s="26"/>
      <c r="J362" s="26"/>
      <c r="K362" s="26"/>
      <c r="L362" s="26"/>
      <c r="M362" s="26"/>
      <c r="N362" s="26"/>
    </row>
    <row r="363" spans="1:14" x14ac:dyDescent="0.25">
      <c r="A363" s="25"/>
      <c r="B363" s="21"/>
      <c r="C363" s="21"/>
      <c r="D363" s="21"/>
      <c r="E363" s="22"/>
      <c r="H363" s="14">
        <f t="shared" si="7"/>
        <v>0</v>
      </c>
      <c r="I363" s="26"/>
      <c r="J363" s="26"/>
      <c r="K363" s="26"/>
      <c r="L363" s="26"/>
      <c r="M363" s="26"/>
      <c r="N363" s="26"/>
    </row>
    <row r="364" spans="1:14" x14ac:dyDescent="0.25">
      <c r="A364" s="25"/>
      <c r="B364" s="21"/>
      <c r="C364" s="21"/>
      <c r="D364" s="21"/>
      <c r="E364" s="22"/>
      <c r="H364" s="14">
        <f t="shared" si="7"/>
        <v>0</v>
      </c>
      <c r="I364" s="26"/>
      <c r="J364" s="26"/>
      <c r="K364" s="26"/>
      <c r="L364" s="26"/>
      <c r="M364" s="26"/>
      <c r="N364" s="26"/>
    </row>
    <row r="365" spans="1:14" x14ac:dyDescent="0.25">
      <c r="A365" s="25"/>
      <c r="B365" s="21"/>
      <c r="C365" s="21"/>
      <c r="D365" s="21"/>
      <c r="E365" s="22"/>
      <c r="H365" s="14">
        <f t="shared" si="7"/>
        <v>0</v>
      </c>
      <c r="I365" s="26"/>
      <c r="J365" s="26"/>
      <c r="K365" s="26"/>
      <c r="L365" s="26"/>
      <c r="M365" s="26"/>
      <c r="N365" s="26"/>
    </row>
    <row r="366" spans="1:14" x14ac:dyDescent="0.25">
      <c r="A366" s="25"/>
      <c r="B366" s="21"/>
      <c r="C366" s="21"/>
      <c r="D366" s="21"/>
      <c r="E366" s="22"/>
      <c r="H366" s="14">
        <f t="shared" si="7"/>
        <v>0</v>
      </c>
      <c r="I366" s="26"/>
      <c r="J366" s="26"/>
      <c r="K366" s="26"/>
      <c r="L366" s="26"/>
      <c r="M366" s="26"/>
      <c r="N366" s="26"/>
    </row>
    <row r="367" spans="1:14" x14ac:dyDescent="0.25">
      <c r="A367" s="25"/>
      <c r="B367" s="21"/>
      <c r="C367" s="21"/>
      <c r="D367" s="21"/>
      <c r="E367" s="22"/>
      <c r="H367" s="14">
        <f t="shared" si="7"/>
        <v>0</v>
      </c>
      <c r="I367" s="26"/>
      <c r="J367" s="26"/>
      <c r="K367" s="26"/>
      <c r="L367" s="26"/>
      <c r="M367" s="26"/>
      <c r="N367" s="26"/>
    </row>
    <row r="368" spans="1:14" x14ac:dyDescent="0.25">
      <c r="A368" s="25"/>
      <c r="B368" s="21"/>
      <c r="C368" s="21"/>
      <c r="D368" s="21"/>
      <c r="E368" s="22"/>
      <c r="H368" s="14">
        <f t="shared" si="7"/>
        <v>0</v>
      </c>
      <c r="I368" s="26"/>
      <c r="J368" s="26"/>
      <c r="K368" s="26"/>
      <c r="L368" s="26"/>
      <c r="M368" s="26"/>
      <c r="N368" s="26"/>
    </row>
    <row r="369" spans="1:14" x14ac:dyDescent="0.25">
      <c r="A369" s="25"/>
      <c r="B369" s="21"/>
      <c r="C369" s="21"/>
      <c r="D369" s="21"/>
      <c r="E369" s="22"/>
      <c r="H369" s="14">
        <f t="shared" si="7"/>
        <v>0</v>
      </c>
      <c r="I369" s="26"/>
      <c r="J369" s="26"/>
      <c r="K369" s="26"/>
      <c r="L369" s="26"/>
      <c r="M369" s="26"/>
      <c r="N369" s="26"/>
    </row>
    <row r="370" spans="1:14" x14ac:dyDescent="0.25">
      <c r="A370" s="25"/>
      <c r="B370" s="21"/>
      <c r="C370" s="21"/>
      <c r="D370" s="21"/>
      <c r="E370" s="22"/>
      <c r="H370" s="14">
        <f t="shared" si="7"/>
        <v>0</v>
      </c>
      <c r="I370" s="26"/>
      <c r="J370" s="26"/>
      <c r="K370" s="26"/>
      <c r="L370" s="26"/>
      <c r="M370" s="26"/>
      <c r="N370" s="26"/>
    </row>
    <row r="371" spans="1:14" x14ac:dyDescent="0.25">
      <c r="A371" s="25"/>
      <c r="B371" s="21"/>
      <c r="C371" s="21"/>
      <c r="D371" s="21"/>
      <c r="E371" s="22"/>
      <c r="H371" s="14">
        <f t="shared" si="7"/>
        <v>0</v>
      </c>
      <c r="I371" s="26"/>
      <c r="J371" s="26"/>
      <c r="K371" s="26"/>
      <c r="L371" s="26"/>
      <c r="M371" s="26"/>
      <c r="N371" s="26"/>
    </row>
    <row r="372" spans="1:14" x14ac:dyDescent="0.25">
      <c r="A372" s="25"/>
      <c r="B372" s="21"/>
      <c r="C372" s="21"/>
      <c r="D372" s="21"/>
      <c r="E372" s="22"/>
      <c r="H372" s="14">
        <f t="shared" si="7"/>
        <v>0</v>
      </c>
      <c r="I372" s="26"/>
      <c r="J372" s="26"/>
      <c r="K372" s="26"/>
      <c r="L372" s="26"/>
      <c r="M372" s="26"/>
      <c r="N372" s="26"/>
    </row>
    <row r="373" spans="1:14" x14ac:dyDescent="0.25">
      <c r="A373" s="25"/>
      <c r="B373" s="21"/>
      <c r="C373" s="21"/>
      <c r="D373" s="21"/>
      <c r="E373" s="22"/>
      <c r="H373" s="14">
        <f t="shared" si="7"/>
        <v>0</v>
      </c>
      <c r="I373" s="26"/>
      <c r="J373" s="26"/>
      <c r="K373" s="26"/>
      <c r="L373" s="26"/>
      <c r="M373" s="26"/>
      <c r="N373" s="26"/>
    </row>
    <row r="374" spans="1:14" x14ac:dyDescent="0.25">
      <c r="A374" s="25"/>
      <c r="B374" s="21"/>
      <c r="C374" s="21"/>
      <c r="D374" s="21"/>
      <c r="E374" s="22"/>
      <c r="H374" s="14">
        <f t="shared" si="7"/>
        <v>0</v>
      </c>
      <c r="I374" s="26"/>
      <c r="J374" s="26"/>
      <c r="K374" s="26"/>
      <c r="L374" s="26"/>
      <c r="M374" s="26"/>
      <c r="N374" s="26"/>
    </row>
    <row r="375" spans="1:14" x14ac:dyDescent="0.25">
      <c r="A375" s="25"/>
      <c r="B375" s="21"/>
      <c r="C375" s="21"/>
      <c r="D375" s="21"/>
      <c r="E375" s="22"/>
      <c r="H375" s="14">
        <f t="shared" si="7"/>
        <v>0</v>
      </c>
      <c r="I375" s="26"/>
      <c r="J375" s="26"/>
      <c r="K375" s="26"/>
      <c r="L375" s="26"/>
      <c r="M375" s="26"/>
      <c r="N375" s="26"/>
    </row>
    <row r="376" spans="1:14" x14ac:dyDescent="0.25">
      <c r="A376" s="25"/>
      <c r="B376" s="21"/>
      <c r="C376" s="21"/>
      <c r="D376" s="21"/>
      <c r="E376" s="22"/>
      <c r="H376" s="14">
        <f t="shared" si="7"/>
        <v>0</v>
      </c>
      <c r="I376" s="26"/>
      <c r="J376" s="26"/>
      <c r="K376" s="26"/>
      <c r="L376" s="26"/>
      <c r="M376" s="26"/>
      <c r="N376" s="26"/>
    </row>
    <row r="377" spans="1:14" x14ac:dyDescent="0.25">
      <c r="A377" s="25"/>
      <c r="B377" s="21"/>
      <c r="C377" s="21"/>
      <c r="D377" s="21"/>
      <c r="E377" s="22"/>
      <c r="H377" s="14">
        <f t="shared" si="7"/>
        <v>0</v>
      </c>
      <c r="I377" s="26"/>
      <c r="J377" s="26"/>
      <c r="K377" s="26"/>
      <c r="L377" s="26"/>
      <c r="M377" s="26"/>
      <c r="N377" s="26"/>
    </row>
    <row r="378" spans="1:14" x14ac:dyDescent="0.25">
      <c r="A378" s="25"/>
      <c r="B378" s="21"/>
      <c r="C378" s="21"/>
      <c r="D378" s="21"/>
      <c r="E378" s="22"/>
      <c r="H378" s="14">
        <f t="shared" si="7"/>
        <v>0</v>
      </c>
      <c r="I378" s="26"/>
      <c r="J378" s="26"/>
      <c r="K378" s="26"/>
      <c r="L378" s="26"/>
      <c r="M378" s="26"/>
      <c r="N378" s="26"/>
    </row>
    <row r="379" spans="1:14" x14ac:dyDescent="0.25">
      <c r="A379" s="25"/>
      <c r="B379" s="21"/>
      <c r="C379" s="21"/>
      <c r="D379" s="21"/>
      <c r="E379" s="22"/>
      <c r="H379" s="14">
        <f t="shared" si="7"/>
        <v>0</v>
      </c>
      <c r="I379" s="26"/>
      <c r="J379" s="26"/>
      <c r="K379" s="26"/>
      <c r="L379" s="26"/>
      <c r="M379" s="26"/>
      <c r="N379" s="26"/>
    </row>
    <row r="380" spans="1:14" x14ac:dyDescent="0.25">
      <c r="A380" s="25"/>
      <c r="B380" s="21"/>
      <c r="C380" s="21"/>
      <c r="D380" s="21"/>
      <c r="E380" s="22"/>
      <c r="H380" s="14">
        <f t="shared" si="7"/>
        <v>0</v>
      </c>
      <c r="I380" s="26"/>
      <c r="J380" s="26"/>
      <c r="K380" s="26"/>
      <c r="L380" s="26"/>
      <c r="M380" s="26"/>
      <c r="N380" s="26"/>
    </row>
    <row r="381" spans="1:14" x14ac:dyDescent="0.25">
      <c r="A381" s="25"/>
      <c r="B381" s="21"/>
      <c r="C381" s="21"/>
      <c r="D381" s="21"/>
      <c r="E381" s="22"/>
      <c r="H381" s="14">
        <f t="shared" si="7"/>
        <v>0</v>
      </c>
      <c r="I381" s="26"/>
      <c r="J381" s="26"/>
      <c r="K381" s="26"/>
      <c r="L381" s="26"/>
      <c r="M381" s="26"/>
      <c r="N381" s="26"/>
    </row>
    <row r="382" spans="1:14" x14ac:dyDescent="0.25">
      <c r="A382" s="25"/>
      <c r="B382" s="21"/>
      <c r="C382" s="21"/>
      <c r="D382" s="21"/>
      <c r="E382" s="22"/>
      <c r="H382" s="14">
        <f t="shared" si="7"/>
        <v>0</v>
      </c>
      <c r="I382" s="26"/>
      <c r="J382" s="26"/>
      <c r="K382" s="26"/>
      <c r="L382" s="26"/>
      <c r="M382" s="26"/>
      <c r="N382" s="26"/>
    </row>
    <row r="383" spans="1:14" x14ac:dyDescent="0.25">
      <c r="A383" s="25"/>
      <c r="B383" s="21"/>
      <c r="C383" s="21"/>
      <c r="D383" s="21"/>
      <c r="E383" s="22"/>
      <c r="H383" s="14">
        <f t="shared" si="7"/>
        <v>0</v>
      </c>
      <c r="I383" s="26"/>
      <c r="J383" s="26"/>
      <c r="K383" s="26"/>
      <c r="L383" s="26"/>
      <c r="M383" s="26"/>
      <c r="N383" s="26"/>
    </row>
    <row r="384" spans="1:14" x14ac:dyDescent="0.25">
      <c r="A384" s="25"/>
      <c r="B384" s="21"/>
      <c r="C384" s="21"/>
      <c r="D384" s="21"/>
      <c r="E384" s="22"/>
      <c r="H384" s="14">
        <f t="shared" si="7"/>
        <v>0</v>
      </c>
      <c r="I384" s="26"/>
      <c r="J384" s="26"/>
      <c r="K384" s="26"/>
      <c r="L384" s="26"/>
      <c r="M384" s="26"/>
      <c r="N384" s="26"/>
    </row>
    <row r="385" spans="1:14" x14ac:dyDescent="0.25">
      <c r="A385" s="25"/>
      <c r="B385" s="21"/>
      <c r="C385" s="21"/>
      <c r="D385" s="21"/>
      <c r="E385" s="22"/>
      <c r="H385" s="14">
        <f t="shared" si="7"/>
        <v>0</v>
      </c>
      <c r="I385" s="26"/>
      <c r="J385" s="26"/>
      <c r="K385" s="26"/>
      <c r="L385" s="26"/>
      <c r="M385" s="26"/>
      <c r="N385" s="26"/>
    </row>
    <row r="386" spans="1:14" x14ac:dyDescent="0.25">
      <c r="A386" s="25"/>
      <c r="B386" s="21"/>
      <c r="C386" s="21"/>
      <c r="D386" s="21"/>
      <c r="E386" s="22"/>
      <c r="H386" s="14">
        <f t="shared" si="7"/>
        <v>0</v>
      </c>
      <c r="I386" s="26"/>
      <c r="J386" s="26"/>
      <c r="K386" s="26"/>
      <c r="L386" s="26"/>
      <c r="M386" s="26"/>
      <c r="N386" s="26"/>
    </row>
    <row r="387" spans="1:14" x14ac:dyDescent="0.25">
      <c r="A387" s="25"/>
      <c r="B387" s="21"/>
      <c r="C387" s="21"/>
      <c r="D387" s="21"/>
      <c r="E387" s="22"/>
      <c r="H387" s="14">
        <f t="shared" si="7"/>
        <v>0</v>
      </c>
      <c r="I387" s="26"/>
      <c r="J387" s="26"/>
      <c r="K387" s="26"/>
      <c r="L387" s="26"/>
      <c r="M387" s="26"/>
      <c r="N387" s="26"/>
    </row>
    <row r="388" spans="1:14" x14ac:dyDescent="0.25">
      <c r="A388" s="25"/>
      <c r="B388" s="21"/>
      <c r="C388" s="21"/>
      <c r="D388" s="21"/>
      <c r="E388" s="22"/>
      <c r="H388" s="14">
        <f t="shared" si="7"/>
        <v>0</v>
      </c>
      <c r="I388" s="26"/>
      <c r="J388" s="26"/>
      <c r="K388" s="26"/>
      <c r="L388" s="26"/>
      <c r="M388" s="26"/>
      <c r="N388" s="26"/>
    </row>
    <row r="389" spans="1:14" x14ac:dyDescent="0.25">
      <c r="A389" s="25"/>
      <c r="B389" s="21"/>
      <c r="C389" s="21"/>
      <c r="D389" s="21"/>
      <c r="E389" s="22"/>
      <c r="H389" s="14">
        <f t="shared" si="7"/>
        <v>0</v>
      </c>
      <c r="I389" s="26"/>
      <c r="J389" s="26"/>
      <c r="K389" s="26"/>
      <c r="L389" s="26"/>
      <c r="M389" s="26"/>
      <c r="N389" s="26"/>
    </row>
    <row r="390" spans="1:14" x14ac:dyDescent="0.25">
      <c r="A390" s="25"/>
      <c r="B390" s="21"/>
      <c r="C390" s="21"/>
      <c r="D390" s="21"/>
      <c r="E390" s="22"/>
      <c r="H390" s="14">
        <f t="shared" ref="H390:H453" si="8">IF(ISNUMBER(SEARCH("__PARAM0__",G390)),SUBSTITUTE(G390,"__PARAM0__","XYZ"),IF(ISNUMBER(SEARCH("__PARAM1__",G390)),SUBSTITUTE(G390,"__PARAM1__","ZYX"),G390))</f>
        <v>0</v>
      </c>
      <c r="I390" s="26"/>
      <c r="J390" s="26"/>
      <c r="K390" s="26"/>
      <c r="L390" s="26"/>
      <c r="M390" s="26"/>
      <c r="N390" s="26"/>
    </row>
    <row r="391" spans="1:14" x14ac:dyDescent="0.25">
      <c r="A391" s="25"/>
      <c r="B391" s="21"/>
      <c r="C391" s="21"/>
      <c r="D391" s="21"/>
      <c r="E391" s="22"/>
      <c r="H391" s="14">
        <f t="shared" si="8"/>
        <v>0</v>
      </c>
      <c r="I391" s="26"/>
      <c r="J391" s="26"/>
      <c r="K391" s="26"/>
      <c r="L391" s="26"/>
      <c r="M391" s="26"/>
      <c r="N391" s="26"/>
    </row>
    <row r="392" spans="1:14" x14ac:dyDescent="0.25">
      <c r="A392" s="25"/>
      <c r="B392" s="21"/>
      <c r="C392" s="21"/>
      <c r="D392" s="21"/>
      <c r="E392" s="22"/>
      <c r="H392" s="14">
        <f t="shared" si="8"/>
        <v>0</v>
      </c>
      <c r="I392" s="26"/>
      <c r="J392" s="26"/>
      <c r="K392" s="26"/>
      <c r="L392" s="26"/>
      <c r="M392" s="26"/>
      <c r="N392" s="26"/>
    </row>
    <row r="393" spans="1:14" x14ac:dyDescent="0.25">
      <c r="A393" s="25"/>
      <c r="B393" s="21"/>
      <c r="C393" s="21"/>
      <c r="D393" s="21"/>
      <c r="E393" s="22"/>
      <c r="H393" s="14">
        <f t="shared" si="8"/>
        <v>0</v>
      </c>
      <c r="I393" s="26"/>
      <c r="J393" s="26"/>
      <c r="K393" s="26"/>
      <c r="L393" s="26"/>
      <c r="M393" s="26"/>
      <c r="N393" s="26"/>
    </row>
    <row r="394" spans="1:14" x14ac:dyDescent="0.25">
      <c r="A394" s="25"/>
      <c r="B394" s="21"/>
      <c r="C394" s="21"/>
      <c r="D394" s="21"/>
      <c r="E394" s="22"/>
      <c r="H394" s="14">
        <f t="shared" si="8"/>
        <v>0</v>
      </c>
      <c r="I394" s="26"/>
      <c r="J394" s="26"/>
      <c r="K394" s="26"/>
      <c r="L394" s="26"/>
      <c r="M394" s="26"/>
      <c r="N394" s="26"/>
    </row>
    <row r="395" spans="1:14" x14ac:dyDescent="0.25">
      <c r="A395" s="25"/>
      <c r="B395" s="21"/>
      <c r="C395" s="21"/>
      <c r="D395" s="21"/>
      <c r="E395" s="22"/>
      <c r="H395" s="14">
        <f t="shared" si="8"/>
        <v>0</v>
      </c>
      <c r="I395" s="26"/>
      <c r="J395" s="26"/>
      <c r="K395" s="26"/>
      <c r="L395" s="26"/>
      <c r="M395" s="26"/>
      <c r="N395" s="26"/>
    </row>
    <row r="396" spans="1:14" x14ac:dyDescent="0.25">
      <c r="A396" s="25"/>
      <c r="B396" s="21"/>
      <c r="C396" s="21"/>
      <c r="D396" s="21"/>
      <c r="E396" s="22"/>
      <c r="H396" s="14">
        <f t="shared" si="8"/>
        <v>0</v>
      </c>
      <c r="I396" s="26"/>
      <c r="J396" s="26"/>
      <c r="K396" s="26"/>
      <c r="L396" s="26"/>
      <c r="M396" s="26"/>
      <c r="N396" s="26"/>
    </row>
    <row r="397" spans="1:14" x14ac:dyDescent="0.25">
      <c r="A397" s="25"/>
      <c r="B397" s="21"/>
      <c r="C397" s="21"/>
      <c r="D397" s="21"/>
      <c r="E397" s="22"/>
      <c r="H397" s="14">
        <f t="shared" si="8"/>
        <v>0</v>
      </c>
      <c r="I397" s="26"/>
      <c r="J397" s="26"/>
      <c r="K397" s="26"/>
      <c r="L397" s="26"/>
      <c r="M397" s="26"/>
      <c r="N397" s="26"/>
    </row>
    <row r="398" spans="1:14" x14ac:dyDescent="0.25">
      <c r="A398" s="25"/>
      <c r="B398" s="21"/>
      <c r="C398" s="21"/>
      <c r="D398" s="21"/>
      <c r="E398" s="22"/>
      <c r="H398" s="14">
        <f t="shared" si="8"/>
        <v>0</v>
      </c>
      <c r="I398" s="26"/>
      <c r="J398" s="26"/>
      <c r="K398" s="26"/>
      <c r="L398" s="26"/>
      <c r="M398" s="26"/>
      <c r="N398" s="26"/>
    </row>
    <row r="399" spans="1:14" x14ac:dyDescent="0.25">
      <c r="A399" s="25"/>
      <c r="B399" s="21"/>
      <c r="C399" s="21"/>
      <c r="D399" s="21"/>
      <c r="E399" s="22"/>
      <c r="H399" s="14">
        <f t="shared" si="8"/>
        <v>0</v>
      </c>
      <c r="I399" s="26"/>
      <c r="J399" s="26"/>
      <c r="K399" s="26"/>
      <c r="L399" s="26"/>
      <c r="M399" s="26"/>
      <c r="N399" s="26"/>
    </row>
    <row r="400" spans="1:14" x14ac:dyDescent="0.25">
      <c r="A400" s="25"/>
      <c r="B400" s="21"/>
      <c r="C400" s="21"/>
      <c r="D400" s="21"/>
      <c r="E400" s="22"/>
      <c r="H400" s="14">
        <f t="shared" si="8"/>
        <v>0</v>
      </c>
      <c r="I400" s="26"/>
      <c r="J400" s="26"/>
      <c r="K400" s="26"/>
      <c r="L400" s="26"/>
      <c r="M400" s="26"/>
      <c r="N400" s="26"/>
    </row>
    <row r="401" spans="1:14" x14ac:dyDescent="0.25">
      <c r="A401" s="25"/>
      <c r="B401" s="21"/>
      <c r="C401" s="21"/>
      <c r="D401" s="21"/>
      <c r="E401" s="22"/>
      <c r="H401" s="14">
        <f t="shared" si="8"/>
        <v>0</v>
      </c>
      <c r="I401" s="26"/>
      <c r="J401" s="26"/>
      <c r="K401" s="26"/>
      <c r="L401" s="26"/>
      <c r="M401" s="26"/>
      <c r="N401" s="26"/>
    </row>
    <row r="402" spans="1:14" x14ac:dyDescent="0.25">
      <c r="A402" s="25"/>
      <c r="B402" s="21"/>
      <c r="C402" s="21"/>
      <c r="D402" s="21"/>
      <c r="E402" s="22"/>
      <c r="H402" s="14">
        <f t="shared" si="8"/>
        <v>0</v>
      </c>
      <c r="I402" s="26"/>
      <c r="J402" s="26"/>
      <c r="K402" s="26"/>
      <c r="L402" s="26"/>
      <c r="M402" s="26"/>
      <c r="N402" s="26"/>
    </row>
    <row r="403" spans="1:14" x14ac:dyDescent="0.25">
      <c r="A403" s="25"/>
      <c r="B403" s="21"/>
      <c r="C403" s="21"/>
      <c r="D403" s="21"/>
      <c r="E403" s="22"/>
      <c r="H403" s="14">
        <f t="shared" si="8"/>
        <v>0</v>
      </c>
      <c r="I403" s="26"/>
      <c r="J403" s="26"/>
      <c r="K403" s="26"/>
      <c r="L403" s="26"/>
      <c r="M403" s="26"/>
      <c r="N403" s="26"/>
    </row>
    <row r="404" spans="1:14" x14ac:dyDescent="0.25">
      <c r="A404" s="25"/>
      <c r="B404" s="21"/>
      <c r="C404" s="21"/>
      <c r="D404" s="21"/>
      <c r="E404" s="22"/>
      <c r="H404" s="14">
        <f t="shared" si="8"/>
        <v>0</v>
      </c>
      <c r="I404" s="26"/>
      <c r="J404" s="26"/>
      <c r="K404" s="26"/>
      <c r="L404" s="26"/>
      <c r="M404" s="26"/>
      <c r="N404" s="26"/>
    </row>
    <row r="405" spans="1:14" x14ac:dyDescent="0.25">
      <c r="A405" s="25"/>
      <c r="B405" s="21"/>
      <c r="C405" s="21"/>
      <c r="D405" s="21"/>
      <c r="E405" s="22"/>
      <c r="H405" s="14">
        <f t="shared" si="8"/>
        <v>0</v>
      </c>
      <c r="I405" s="26"/>
      <c r="J405" s="26"/>
      <c r="K405" s="26"/>
      <c r="L405" s="26"/>
      <c r="M405" s="26"/>
      <c r="N405" s="26"/>
    </row>
    <row r="406" spans="1:14" x14ac:dyDescent="0.25">
      <c r="A406" s="25"/>
      <c r="B406" s="21"/>
      <c r="C406" s="21"/>
      <c r="D406" s="21"/>
      <c r="E406" s="22"/>
      <c r="H406" s="14">
        <f t="shared" si="8"/>
        <v>0</v>
      </c>
      <c r="I406" s="26"/>
      <c r="J406" s="26"/>
      <c r="K406" s="26"/>
      <c r="L406" s="26"/>
      <c r="M406" s="26"/>
      <c r="N406" s="26"/>
    </row>
    <row r="407" spans="1:14" x14ac:dyDescent="0.25">
      <c r="A407" s="25"/>
      <c r="B407" s="21"/>
      <c r="C407" s="21"/>
      <c r="D407" s="21"/>
      <c r="E407" s="22"/>
      <c r="H407" s="14">
        <f t="shared" si="8"/>
        <v>0</v>
      </c>
      <c r="I407" s="26"/>
      <c r="J407" s="26"/>
      <c r="K407" s="26"/>
      <c r="L407" s="26"/>
      <c r="M407" s="26"/>
      <c r="N407" s="26"/>
    </row>
    <row r="408" spans="1:14" x14ac:dyDescent="0.25">
      <c r="A408" s="25"/>
      <c r="B408" s="21"/>
      <c r="C408" s="21"/>
      <c r="D408" s="21"/>
      <c r="E408" s="22"/>
      <c r="H408" s="14">
        <f t="shared" si="8"/>
        <v>0</v>
      </c>
      <c r="I408" s="26"/>
      <c r="J408" s="26"/>
      <c r="K408" s="26"/>
      <c r="L408" s="26"/>
      <c r="M408" s="26"/>
      <c r="N408" s="26"/>
    </row>
    <row r="409" spans="1:14" x14ac:dyDescent="0.25">
      <c r="A409" s="25"/>
      <c r="B409" s="21"/>
      <c r="C409" s="21"/>
      <c r="D409" s="21"/>
      <c r="E409" s="22"/>
      <c r="H409" s="14">
        <f t="shared" si="8"/>
        <v>0</v>
      </c>
      <c r="I409" s="26"/>
      <c r="J409" s="26"/>
      <c r="K409" s="26"/>
      <c r="L409" s="26"/>
      <c r="M409" s="26"/>
      <c r="N409" s="26"/>
    </row>
    <row r="410" spans="1:14" x14ac:dyDescent="0.25">
      <c r="A410" s="25"/>
      <c r="B410" s="21"/>
      <c r="C410" s="21"/>
      <c r="D410" s="21"/>
      <c r="E410" s="22"/>
      <c r="H410" s="14">
        <f t="shared" si="8"/>
        <v>0</v>
      </c>
      <c r="I410" s="26"/>
      <c r="J410" s="26"/>
      <c r="K410" s="26"/>
      <c r="L410" s="26"/>
      <c r="M410" s="26"/>
      <c r="N410" s="26"/>
    </row>
    <row r="411" spans="1:14" x14ac:dyDescent="0.25">
      <c r="A411" s="25"/>
      <c r="B411" s="21"/>
      <c r="C411" s="21"/>
      <c r="D411" s="21"/>
      <c r="E411" s="22"/>
      <c r="H411" s="14">
        <f t="shared" si="8"/>
        <v>0</v>
      </c>
      <c r="I411" s="26"/>
      <c r="J411" s="26"/>
      <c r="K411" s="26"/>
      <c r="L411" s="26"/>
      <c r="M411" s="26"/>
      <c r="N411" s="26"/>
    </row>
    <row r="412" spans="1:14" x14ac:dyDescent="0.25">
      <c r="A412" s="25"/>
      <c r="B412" s="21"/>
      <c r="C412" s="21"/>
      <c r="D412" s="21"/>
      <c r="E412" s="22"/>
      <c r="H412" s="14">
        <f t="shared" si="8"/>
        <v>0</v>
      </c>
      <c r="I412" s="26"/>
      <c r="J412" s="26"/>
      <c r="K412" s="26"/>
      <c r="L412" s="26"/>
      <c r="M412" s="26"/>
      <c r="N412" s="26"/>
    </row>
    <row r="413" spans="1:14" x14ac:dyDescent="0.25">
      <c r="A413" s="25"/>
      <c r="B413" s="21"/>
      <c r="C413" s="21"/>
      <c r="D413" s="21"/>
      <c r="E413" s="22"/>
      <c r="H413" s="14">
        <f t="shared" si="8"/>
        <v>0</v>
      </c>
      <c r="I413" s="26"/>
      <c r="J413" s="26"/>
      <c r="K413" s="26"/>
      <c r="L413" s="26"/>
      <c r="M413" s="26"/>
      <c r="N413" s="26"/>
    </row>
    <row r="414" spans="1:14" x14ac:dyDescent="0.25">
      <c r="A414" s="25"/>
      <c r="B414" s="21"/>
      <c r="C414" s="21"/>
      <c r="D414" s="21"/>
      <c r="E414" s="22"/>
      <c r="H414" s="14">
        <f t="shared" si="8"/>
        <v>0</v>
      </c>
      <c r="I414" s="26"/>
      <c r="J414" s="26"/>
      <c r="K414" s="26"/>
      <c r="L414" s="26"/>
      <c r="M414" s="26"/>
      <c r="N414" s="26"/>
    </row>
    <row r="415" spans="1:14" x14ac:dyDescent="0.25">
      <c r="A415" s="25"/>
      <c r="B415" s="21"/>
      <c r="C415" s="21"/>
      <c r="D415" s="21"/>
      <c r="E415" s="22"/>
      <c r="H415" s="14">
        <f t="shared" si="8"/>
        <v>0</v>
      </c>
      <c r="I415" s="26"/>
      <c r="J415" s="26"/>
      <c r="K415" s="26"/>
      <c r="L415" s="26"/>
      <c r="M415" s="26"/>
      <c r="N415" s="26"/>
    </row>
    <row r="416" spans="1:14" x14ac:dyDescent="0.25">
      <c r="A416" s="25"/>
      <c r="B416" s="21"/>
      <c r="C416" s="21"/>
      <c r="D416" s="21"/>
      <c r="E416" s="22"/>
      <c r="H416" s="14">
        <f t="shared" si="8"/>
        <v>0</v>
      </c>
      <c r="I416" s="26"/>
      <c r="J416" s="26"/>
      <c r="K416" s="26"/>
      <c r="L416" s="26"/>
      <c r="M416" s="26"/>
      <c r="N416" s="26"/>
    </row>
    <row r="417" spans="1:14" x14ac:dyDescent="0.25">
      <c r="A417" s="25"/>
      <c r="B417" s="21"/>
      <c r="C417" s="21"/>
      <c r="D417" s="21"/>
      <c r="E417" s="22"/>
      <c r="H417" s="14">
        <f t="shared" si="8"/>
        <v>0</v>
      </c>
      <c r="I417" s="26"/>
      <c r="J417" s="26"/>
      <c r="K417" s="26"/>
      <c r="L417" s="26"/>
      <c r="M417" s="26"/>
      <c r="N417" s="26"/>
    </row>
    <row r="418" spans="1:14" x14ac:dyDescent="0.25">
      <c r="A418" s="25"/>
      <c r="B418" s="21"/>
      <c r="C418" s="21"/>
      <c r="D418" s="21"/>
      <c r="E418" s="22"/>
      <c r="H418" s="14">
        <f t="shared" si="8"/>
        <v>0</v>
      </c>
      <c r="I418" s="26"/>
      <c r="J418" s="26"/>
      <c r="K418" s="26"/>
      <c r="L418" s="26"/>
      <c r="M418" s="26"/>
      <c r="N418" s="26"/>
    </row>
    <row r="419" spans="1:14" x14ac:dyDescent="0.25">
      <c r="A419" s="25"/>
      <c r="B419" s="21"/>
      <c r="C419" s="21"/>
      <c r="D419" s="21"/>
      <c r="E419" s="22"/>
      <c r="H419" s="14">
        <f t="shared" si="8"/>
        <v>0</v>
      </c>
      <c r="I419" s="26"/>
      <c r="J419" s="26"/>
      <c r="K419" s="26"/>
      <c r="L419" s="26"/>
      <c r="M419" s="26"/>
      <c r="N419" s="26"/>
    </row>
    <row r="420" spans="1:14" x14ac:dyDescent="0.25">
      <c r="A420" s="25"/>
      <c r="B420" s="21"/>
      <c r="C420" s="21"/>
      <c r="D420" s="21"/>
      <c r="E420" s="22"/>
      <c r="H420" s="14">
        <f t="shared" si="8"/>
        <v>0</v>
      </c>
      <c r="I420" s="26"/>
      <c r="J420" s="26"/>
      <c r="K420" s="26"/>
      <c r="L420" s="26"/>
      <c r="M420" s="26"/>
      <c r="N420" s="26"/>
    </row>
    <row r="421" spans="1:14" x14ac:dyDescent="0.25">
      <c r="A421" s="25"/>
      <c r="B421" s="21"/>
      <c r="C421" s="21"/>
      <c r="D421" s="21"/>
      <c r="E421" s="22"/>
      <c r="H421" s="14">
        <f t="shared" si="8"/>
        <v>0</v>
      </c>
      <c r="I421" s="26"/>
      <c r="J421" s="26"/>
      <c r="K421" s="26"/>
      <c r="L421" s="26"/>
      <c r="M421" s="26"/>
      <c r="N421" s="26"/>
    </row>
    <row r="422" spans="1:14" x14ac:dyDescent="0.25">
      <c r="A422" s="25"/>
      <c r="B422" s="21"/>
      <c r="C422" s="21"/>
      <c r="D422" s="21"/>
      <c r="E422" s="22"/>
      <c r="H422" s="14">
        <f t="shared" si="8"/>
        <v>0</v>
      </c>
      <c r="I422" s="26"/>
      <c r="J422" s="26"/>
      <c r="K422" s="26"/>
      <c r="L422" s="26"/>
      <c r="M422" s="26"/>
      <c r="N422" s="26"/>
    </row>
    <row r="423" spans="1:14" x14ac:dyDescent="0.25">
      <c r="A423" s="25"/>
      <c r="B423" s="21"/>
      <c r="C423" s="21"/>
      <c r="D423" s="21"/>
      <c r="E423" s="22"/>
      <c r="H423" s="14">
        <f t="shared" si="8"/>
        <v>0</v>
      </c>
      <c r="I423" s="26"/>
      <c r="J423" s="26"/>
      <c r="K423" s="26"/>
      <c r="L423" s="26"/>
      <c r="M423" s="26"/>
      <c r="N423" s="26"/>
    </row>
    <row r="424" spans="1:14" x14ac:dyDescent="0.25">
      <c r="A424" s="25"/>
      <c r="B424" s="21"/>
      <c r="C424" s="21"/>
      <c r="D424" s="21"/>
      <c r="E424" s="22"/>
      <c r="H424" s="14">
        <f t="shared" si="8"/>
        <v>0</v>
      </c>
      <c r="I424" s="26"/>
      <c r="J424" s="26"/>
      <c r="K424" s="26"/>
      <c r="L424" s="26"/>
      <c r="M424" s="26"/>
      <c r="N424" s="26"/>
    </row>
    <row r="425" spans="1:14" x14ac:dyDescent="0.25">
      <c r="A425" s="25"/>
      <c r="B425" s="21"/>
      <c r="C425" s="21"/>
      <c r="D425" s="21"/>
      <c r="E425" s="22"/>
      <c r="H425" s="14">
        <f t="shared" si="8"/>
        <v>0</v>
      </c>
      <c r="I425" s="26"/>
      <c r="J425" s="26"/>
      <c r="K425" s="26"/>
      <c r="L425" s="26"/>
      <c r="M425" s="26"/>
      <c r="N425" s="26"/>
    </row>
    <row r="426" spans="1:14" x14ac:dyDescent="0.25">
      <c r="A426" s="25"/>
      <c r="B426" s="21"/>
      <c r="C426" s="21"/>
      <c r="D426" s="21"/>
      <c r="E426" s="22"/>
      <c r="H426" s="14">
        <f t="shared" si="8"/>
        <v>0</v>
      </c>
      <c r="I426" s="26"/>
      <c r="J426" s="26"/>
      <c r="K426" s="26"/>
      <c r="L426" s="26"/>
      <c r="M426" s="26"/>
      <c r="N426" s="26"/>
    </row>
    <row r="427" spans="1:14" x14ac:dyDescent="0.25">
      <c r="A427" s="25"/>
      <c r="B427" s="21"/>
      <c r="C427" s="21"/>
      <c r="D427" s="21"/>
      <c r="E427" s="22"/>
      <c r="H427" s="14">
        <f t="shared" si="8"/>
        <v>0</v>
      </c>
      <c r="I427" s="26"/>
      <c r="J427" s="26"/>
      <c r="K427" s="26"/>
      <c r="L427" s="26"/>
      <c r="M427" s="26"/>
      <c r="N427" s="26"/>
    </row>
    <row r="428" spans="1:14" x14ac:dyDescent="0.25">
      <c r="A428" s="25"/>
      <c r="B428" s="21"/>
      <c r="C428" s="21"/>
      <c r="D428" s="21"/>
      <c r="E428" s="22"/>
      <c r="H428" s="14">
        <f t="shared" si="8"/>
        <v>0</v>
      </c>
      <c r="I428" s="26"/>
      <c r="J428" s="26"/>
      <c r="K428" s="26"/>
      <c r="L428" s="26"/>
      <c r="M428" s="26"/>
      <c r="N428" s="26"/>
    </row>
    <row r="429" spans="1:14" x14ac:dyDescent="0.25">
      <c r="A429" s="25"/>
      <c r="B429" s="21"/>
      <c r="C429" s="21"/>
      <c r="D429" s="21"/>
      <c r="E429" s="22"/>
      <c r="H429" s="14">
        <f t="shared" si="8"/>
        <v>0</v>
      </c>
      <c r="I429" s="26"/>
      <c r="J429" s="26"/>
      <c r="K429" s="26"/>
      <c r="L429" s="26"/>
      <c r="M429" s="26"/>
      <c r="N429" s="26"/>
    </row>
    <row r="430" spans="1:14" x14ac:dyDescent="0.25">
      <c r="A430" s="25"/>
      <c r="B430" s="21"/>
      <c r="C430" s="21"/>
      <c r="D430" s="21"/>
      <c r="E430" s="22"/>
      <c r="H430" s="14">
        <f t="shared" si="8"/>
        <v>0</v>
      </c>
      <c r="I430" s="26"/>
      <c r="J430" s="26"/>
      <c r="K430" s="26"/>
      <c r="L430" s="26"/>
      <c r="M430" s="26"/>
      <c r="N430" s="26"/>
    </row>
    <row r="431" spans="1:14" x14ac:dyDescent="0.25">
      <c r="A431" s="25"/>
      <c r="B431" s="21"/>
      <c r="C431" s="21"/>
      <c r="D431" s="21"/>
      <c r="E431" s="22"/>
      <c r="H431" s="14">
        <f t="shared" si="8"/>
        <v>0</v>
      </c>
      <c r="I431" s="26"/>
      <c r="J431" s="26"/>
      <c r="K431" s="26"/>
      <c r="L431" s="26"/>
      <c r="M431" s="26"/>
      <c r="N431" s="26"/>
    </row>
    <row r="432" spans="1:14" x14ac:dyDescent="0.25">
      <c r="A432" s="25"/>
      <c r="B432" s="21"/>
      <c r="C432" s="21"/>
      <c r="D432" s="21"/>
      <c r="E432" s="22"/>
      <c r="H432" s="14">
        <f t="shared" si="8"/>
        <v>0</v>
      </c>
      <c r="I432" s="26"/>
      <c r="J432" s="26"/>
      <c r="K432" s="26"/>
      <c r="L432" s="26"/>
      <c r="M432" s="26"/>
      <c r="N432" s="26"/>
    </row>
    <row r="433" spans="1:14" x14ac:dyDescent="0.25">
      <c r="A433" s="25"/>
      <c r="B433" s="21"/>
      <c r="C433" s="21"/>
      <c r="D433" s="21"/>
      <c r="E433" s="22"/>
      <c r="H433" s="14">
        <f t="shared" si="8"/>
        <v>0</v>
      </c>
      <c r="I433" s="26"/>
      <c r="J433" s="26"/>
      <c r="K433" s="26"/>
      <c r="L433" s="26"/>
      <c r="M433" s="26"/>
      <c r="N433" s="26"/>
    </row>
    <row r="434" spans="1:14" x14ac:dyDescent="0.25">
      <c r="A434" s="25"/>
      <c r="B434" s="21"/>
      <c r="C434" s="21"/>
      <c r="D434" s="21"/>
      <c r="E434" s="22"/>
      <c r="H434" s="14">
        <f t="shared" si="8"/>
        <v>0</v>
      </c>
      <c r="I434" s="26"/>
      <c r="J434" s="26"/>
      <c r="K434" s="26"/>
      <c r="L434" s="26"/>
      <c r="M434" s="26"/>
      <c r="N434" s="26"/>
    </row>
    <row r="435" spans="1:14" x14ac:dyDescent="0.25">
      <c r="A435" s="25"/>
      <c r="B435" s="21"/>
      <c r="C435" s="21"/>
      <c r="D435" s="21"/>
      <c r="E435" s="22"/>
      <c r="H435" s="14">
        <f t="shared" si="8"/>
        <v>0</v>
      </c>
      <c r="I435" s="26"/>
      <c r="J435" s="26"/>
      <c r="K435" s="26"/>
      <c r="L435" s="26"/>
      <c r="M435" s="26"/>
      <c r="N435" s="26"/>
    </row>
    <row r="436" spans="1:14" x14ac:dyDescent="0.25">
      <c r="A436" s="25"/>
      <c r="B436" s="21"/>
      <c r="C436" s="21"/>
      <c r="D436" s="21"/>
      <c r="E436" s="22"/>
      <c r="H436" s="14">
        <f t="shared" si="8"/>
        <v>0</v>
      </c>
      <c r="I436" s="26"/>
      <c r="J436" s="26"/>
      <c r="K436" s="26"/>
      <c r="L436" s="26"/>
      <c r="M436" s="26"/>
      <c r="N436" s="26"/>
    </row>
    <row r="437" spans="1:14" x14ac:dyDescent="0.25">
      <c r="A437" s="25"/>
      <c r="B437" s="21"/>
      <c r="C437" s="21"/>
      <c r="D437" s="21"/>
      <c r="E437" s="22"/>
      <c r="H437" s="14">
        <f t="shared" si="8"/>
        <v>0</v>
      </c>
      <c r="I437" s="26"/>
      <c r="J437" s="26"/>
      <c r="K437" s="26"/>
      <c r="L437" s="26"/>
      <c r="M437" s="26"/>
      <c r="N437" s="26"/>
    </row>
    <row r="438" spans="1:14" x14ac:dyDescent="0.25">
      <c r="A438" s="25"/>
      <c r="B438" s="21"/>
      <c r="C438" s="21"/>
      <c r="D438" s="21"/>
      <c r="E438" s="22"/>
      <c r="H438" s="14">
        <f t="shared" si="8"/>
        <v>0</v>
      </c>
      <c r="I438" s="26"/>
      <c r="J438" s="26"/>
      <c r="K438" s="26"/>
      <c r="L438" s="26"/>
      <c r="M438" s="26"/>
      <c r="N438" s="26"/>
    </row>
    <row r="439" spans="1:14" x14ac:dyDescent="0.25">
      <c r="A439" s="25"/>
      <c r="B439" s="21"/>
      <c r="C439" s="21"/>
      <c r="D439" s="21"/>
      <c r="E439" s="22"/>
      <c r="H439" s="14">
        <f t="shared" si="8"/>
        <v>0</v>
      </c>
      <c r="I439" s="26"/>
      <c r="J439" s="26"/>
      <c r="K439" s="26"/>
      <c r="L439" s="26"/>
      <c r="M439" s="26"/>
      <c r="N439" s="26"/>
    </row>
    <row r="440" spans="1:14" x14ac:dyDescent="0.25">
      <c r="A440" s="25"/>
      <c r="B440" s="21"/>
      <c r="C440" s="21"/>
      <c r="D440" s="21"/>
      <c r="E440" s="22"/>
      <c r="H440" s="14">
        <f t="shared" si="8"/>
        <v>0</v>
      </c>
      <c r="I440" s="26"/>
      <c r="J440" s="26"/>
      <c r="K440" s="26"/>
      <c r="L440" s="26"/>
      <c r="M440" s="26"/>
      <c r="N440" s="26"/>
    </row>
    <row r="441" spans="1:14" x14ac:dyDescent="0.25">
      <c r="A441" s="25"/>
      <c r="B441" s="21"/>
      <c r="C441" s="21"/>
      <c r="D441" s="21"/>
      <c r="E441" s="22"/>
      <c r="H441" s="14">
        <f t="shared" si="8"/>
        <v>0</v>
      </c>
      <c r="I441" s="26"/>
      <c r="J441" s="26"/>
      <c r="K441" s="26"/>
      <c r="L441" s="26"/>
      <c r="M441" s="26"/>
      <c r="N441" s="26"/>
    </row>
    <row r="442" spans="1:14" x14ac:dyDescent="0.25">
      <c r="A442" s="25"/>
      <c r="B442" s="21"/>
      <c r="C442" s="21"/>
      <c r="D442" s="21"/>
      <c r="E442" s="22"/>
      <c r="H442" s="14">
        <f t="shared" si="8"/>
        <v>0</v>
      </c>
      <c r="I442" s="26"/>
      <c r="J442" s="26"/>
      <c r="K442" s="26"/>
      <c r="L442" s="26"/>
      <c r="M442" s="26"/>
      <c r="N442" s="26"/>
    </row>
    <row r="443" spans="1:14" x14ac:dyDescent="0.25">
      <c r="A443" s="25"/>
      <c r="B443" s="21"/>
      <c r="C443" s="21"/>
      <c r="D443" s="21"/>
      <c r="E443" s="22"/>
      <c r="H443" s="14">
        <f t="shared" si="8"/>
        <v>0</v>
      </c>
      <c r="I443" s="26"/>
      <c r="J443" s="26"/>
      <c r="K443" s="26"/>
      <c r="L443" s="26"/>
      <c r="M443" s="26"/>
      <c r="N443" s="26"/>
    </row>
    <row r="444" spans="1:14" x14ac:dyDescent="0.25">
      <c r="A444" s="25"/>
      <c r="B444" s="21"/>
      <c r="C444" s="21"/>
      <c r="D444" s="21"/>
      <c r="E444" s="22"/>
      <c r="H444" s="14">
        <f t="shared" si="8"/>
        <v>0</v>
      </c>
      <c r="I444" s="26"/>
      <c r="J444" s="26"/>
      <c r="K444" s="26"/>
      <c r="L444" s="26"/>
      <c r="M444" s="26"/>
      <c r="N444" s="26"/>
    </row>
    <row r="445" spans="1:14" x14ac:dyDescent="0.25">
      <c r="A445" s="25"/>
      <c r="B445" s="21"/>
      <c r="C445" s="21"/>
      <c r="D445" s="21"/>
      <c r="E445" s="22"/>
      <c r="H445" s="14">
        <f t="shared" si="8"/>
        <v>0</v>
      </c>
      <c r="I445" s="26"/>
      <c r="J445" s="26"/>
      <c r="K445" s="26"/>
      <c r="L445" s="26"/>
      <c r="M445" s="26"/>
      <c r="N445" s="26"/>
    </row>
    <row r="446" spans="1:14" x14ac:dyDescent="0.25">
      <c r="A446" s="25"/>
      <c r="B446" s="21"/>
      <c r="C446" s="21"/>
      <c r="D446" s="21"/>
      <c r="E446" s="22"/>
      <c r="H446" s="14">
        <f t="shared" si="8"/>
        <v>0</v>
      </c>
      <c r="I446" s="26"/>
      <c r="J446" s="26"/>
      <c r="K446" s="26"/>
      <c r="L446" s="26"/>
      <c r="M446" s="26"/>
      <c r="N446" s="26"/>
    </row>
    <row r="447" spans="1:14" x14ac:dyDescent="0.25">
      <c r="A447" s="25"/>
      <c r="B447" s="21"/>
      <c r="C447" s="21"/>
      <c r="D447" s="21"/>
      <c r="E447" s="22"/>
      <c r="H447" s="14">
        <f t="shared" si="8"/>
        <v>0</v>
      </c>
      <c r="I447" s="26"/>
      <c r="J447" s="26"/>
      <c r="K447" s="26"/>
      <c r="L447" s="26"/>
      <c r="M447" s="26"/>
      <c r="N447" s="26"/>
    </row>
    <row r="448" spans="1:14" x14ac:dyDescent="0.25">
      <c r="A448" s="25"/>
      <c r="B448" s="21"/>
      <c r="C448" s="21"/>
      <c r="D448" s="21"/>
      <c r="E448" s="22"/>
      <c r="H448" s="14">
        <f t="shared" si="8"/>
        <v>0</v>
      </c>
      <c r="I448" s="26"/>
      <c r="J448" s="26"/>
      <c r="K448" s="26"/>
      <c r="L448" s="26"/>
      <c r="M448" s="26"/>
      <c r="N448" s="26"/>
    </row>
    <row r="449" spans="1:14" x14ac:dyDescent="0.25">
      <c r="A449" s="25"/>
      <c r="B449" s="21"/>
      <c r="C449" s="21"/>
      <c r="D449" s="21"/>
      <c r="E449" s="22"/>
      <c r="H449" s="14">
        <f t="shared" si="8"/>
        <v>0</v>
      </c>
      <c r="I449" s="26"/>
      <c r="J449" s="26"/>
      <c r="K449" s="26"/>
      <c r="L449" s="26"/>
      <c r="M449" s="26"/>
      <c r="N449" s="26"/>
    </row>
    <row r="450" spans="1:14" x14ac:dyDescent="0.25">
      <c r="A450" s="25"/>
      <c r="B450" s="21"/>
      <c r="C450" s="21"/>
      <c r="D450" s="21"/>
      <c r="E450" s="22"/>
      <c r="H450" s="14">
        <f t="shared" si="8"/>
        <v>0</v>
      </c>
      <c r="I450" s="26"/>
      <c r="J450" s="26"/>
      <c r="K450" s="26"/>
      <c r="L450" s="26"/>
      <c r="M450" s="26"/>
      <c r="N450" s="26"/>
    </row>
    <row r="451" spans="1:14" x14ac:dyDescent="0.25">
      <c r="A451" s="25"/>
      <c r="B451" s="21"/>
      <c r="C451" s="21"/>
      <c r="D451" s="21"/>
      <c r="E451" s="22"/>
      <c r="H451" s="14">
        <f t="shared" si="8"/>
        <v>0</v>
      </c>
      <c r="I451" s="26"/>
      <c r="J451" s="26"/>
      <c r="K451" s="26"/>
      <c r="L451" s="26"/>
      <c r="M451" s="26"/>
      <c r="N451" s="26"/>
    </row>
    <row r="452" spans="1:14" x14ac:dyDescent="0.25">
      <c r="A452" s="25"/>
      <c r="B452" s="21"/>
      <c r="C452" s="21"/>
      <c r="D452" s="21"/>
      <c r="E452" s="22"/>
      <c r="H452" s="14">
        <f t="shared" si="8"/>
        <v>0</v>
      </c>
      <c r="I452" s="26"/>
      <c r="J452" s="26"/>
      <c r="K452" s="26"/>
      <c r="L452" s="26"/>
      <c r="M452" s="26"/>
      <c r="N452" s="26"/>
    </row>
    <row r="453" spans="1:14" x14ac:dyDescent="0.25">
      <c r="A453" s="25"/>
      <c r="B453" s="21"/>
      <c r="C453" s="21"/>
      <c r="D453" s="21"/>
      <c r="E453" s="22"/>
      <c r="H453" s="14">
        <f t="shared" si="8"/>
        <v>0</v>
      </c>
      <c r="I453" s="26"/>
      <c r="J453" s="26"/>
      <c r="K453" s="26"/>
      <c r="L453" s="26"/>
      <c r="M453" s="26"/>
      <c r="N453" s="26"/>
    </row>
    <row r="454" spans="1:14" x14ac:dyDescent="0.25">
      <c r="A454" s="25"/>
      <c r="B454" s="21"/>
      <c r="C454" s="21"/>
      <c r="D454" s="21"/>
      <c r="E454" s="22"/>
      <c r="H454" s="14">
        <f t="shared" ref="H454:H490" si="9">IF(ISNUMBER(SEARCH("__PARAM0__",G454)),SUBSTITUTE(G454,"__PARAM0__","XYZ"),IF(ISNUMBER(SEARCH("__PARAM1__",G454)),SUBSTITUTE(G454,"__PARAM1__","ZYX"),G454))</f>
        <v>0</v>
      </c>
      <c r="I454" s="26"/>
      <c r="J454" s="26"/>
      <c r="K454" s="26"/>
      <c r="L454" s="26"/>
      <c r="M454" s="26"/>
      <c r="N454" s="26"/>
    </row>
    <row r="455" spans="1:14" x14ac:dyDescent="0.25">
      <c r="A455" s="25"/>
      <c r="B455" s="21"/>
      <c r="C455" s="21"/>
      <c r="D455" s="21"/>
      <c r="E455" s="22"/>
      <c r="H455" s="14">
        <f t="shared" si="9"/>
        <v>0</v>
      </c>
      <c r="I455" s="26"/>
      <c r="J455" s="26"/>
      <c r="K455" s="26"/>
      <c r="L455" s="26"/>
      <c r="M455" s="26"/>
      <c r="N455" s="26"/>
    </row>
    <row r="456" spans="1:14" x14ac:dyDescent="0.25">
      <c r="A456" s="25"/>
      <c r="B456" s="21"/>
      <c r="C456" s="21"/>
      <c r="D456" s="21"/>
      <c r="E456" s="22"/>
      <c r="H456" s="14">
        <f t="shared" si="9"/>
        <v>0</v>
      </c>
      <c r="I456" s="26"/>
      <c r="J456" s="26"/>
      <c r="K456" s="26"/>
      <c r="L456" s="26"/>
      <c r="M456" s="26"/>
      <c r="N456" s="26"/>
    </row>
    <row r="457" spans="1:14" x14ac:dyDescent="0.25">
      <c r="A457" s="25"/>
      <c r="B457" s="21"/>
      <c r="C457" s="21"/>
      <c r="D457" s="21"/>
      <c r="E457" s="22"/>
      <c r="H457" s="14">
        <f t="shared" si="9"/>
        <v>0</v>
      </c>
      <c r="I457" s="26"/>
      <c r="J457" s="26"/>
      <c r="K457" s="26"/>
      <c r="L457" s="26"/>
      <c r="M457" s="26"/>
      <c r="N457" s="26"/>
    </row>
    <row r="458" spans="1:14" x14ac:dyDescent="0.25">
      <c r="A458" s="25"/>
      <c r="B458" s="21"/>
      <c r="C458" s="21"/>
      <c r="D458" s="21"/>
      <c r="E458" s="22"/>
      <c r="H458" s="14">
        <f t="shared" si="9"/>
        <v>0</v>
      </c>
      <c r="I458" s="26"/>
      <c r="J458" s="26"/>
      <c r="K458" s="26"/>
      <c r="L458" s="26"/>
      <c r="M458" s="26"/>
      <c r="N458" s="26"/>
    </row>
    <row r="459" spans="1:14" x14ac:dyDescent="0.25">
      <c r="A459" s="25"/>
      <c r="B459" s="21"/>
      <c r="C459" s="21"/>
      <c r="D459" s="21"/>
      <c r="E459" s="22"/>
      <c r="H459" s="14">
        <f t="shared" si="9"/>
        <v>0</v>
      </c>
      <c r="I459" s="26"/>
      <c r="J459" s="26"/>
      <c r="K459" s="26"/>
      <c r="L459" s="26"/>
      <c r="M459" s="26"/>
      <c r="N459" s="26"/>
    </row>
    <row r="460" spans="1:14" x14ac:dyDescent="0.25">
      <c r="A460" s="25"/>
      <c r="B460" s="21"/>
      <c r="C460" s="21"/>
      <c r="D460" s="21"/>
      <c r="E460" s="22"/>
      <c r="H460" s="14">
        <f t="shared" si="9"/>
        <v>0</v>
      </c>
      <c r="I460" s="26"/>
      <c r="J460" s="26"/>
      <c r="K460" s="26"/>
      <c r="L460" s="26"/>
      <c r="M460" s="26"/>
      <c r="N460" s="26"/>
    </row>
    <row r="461" spans="1:14" x14ac:dyDescent="0.25">
      <c r="A461" s="25"/>
      <c r="B461" s="21"/>
      <c r="C461" s="21"/>
      <c r="D461" s="21"/>
      <c r="E461" s="22"/>
      <c r="H461" s="14">
        <f t="shared" si="9"/>
        <v>0</v>
      </c>
      <c r="I461" s="26"/>
      <c r="J461" s="26"/>
      <c r="K461" s="26"/>
      <c r="L461" s="26"/>
      <c r="M461" s="26"/>
      <c r="N461" s="26"/>
    </row>
    <row r="462" spans="1:14" x14ac:dyDescent="0.25">
      <c r="A462" s="25"/>
      <c r="B462" s="21"/>
      <c r="C462" s="21"/>
      <c r="D462" s="21"/>
      <c r="E462" s="22"/>
      <c r="H462" s="14">
        <f t="shared" si="9"/>
        <v>0</v>
      </c>
      <c r="I462" s="26"/>
      <c r="J462" s="26"/>
      <c r="K462" s="26"/>
      <c r="L462" s="26"/>
      <c r="M462" s="26"/>
      <c r="N462" s="26"/>
    </row>
    <row r="463" spans="1:14" x14ac:dyDescent="0.25">
      <c r="A463" s="25"/>
      <c r="B463" s="21"/>
      <c r="C463" s="21"/>
      <c r="D463" s="21"/>
      <c r="E463" s="22"/>
      <c r="H463" s="14">
        <f t="shared" si="9"/>
        <v>0</v>
      </c>
      <c r="I463" s="26"/>
      <c r="J463" s="26"/>
      <c r="K463" s="26"/>
      <c r="L463" s="26"/>
      <c r="M463" s="26"/>
      <c r="N463" s="26"/>
    </row>
    <row r="464" spans="1:14" x14ac:dyDescent="0.25">
      <c r="A464" s="25"/>
      <c r="B464" s="21"/>
      <c r="C464" s="21"/>
      <c r="D464" s="21"/>
      <c r="E464" s="22"/>
      <c r="H464" s="14">
        <f t="shared" si="9"/>
        <v>0</v>
      </c>
      <c r="I464" s="26"/>
      <c r="J464" s="26"/>
      <c r="K464" s="26"/>
      <c r="L464" s="26"/>
      <c r="M464" s="26"/>
      <c r="N464" s="26"/>
    </row>
    <row r="465" spans="1:14" x14ac:dyDescent="0.25">
      <c r="A465" s="25"/>
      <c r="B465" s="21"/>
      <c r="C465" s="21"/>
      <c r="D465" s="21"/>
      <c r="E465" s="22"/>
      <c r="H465" s="14">
        <f t="shared" si="9"/>
        <v>0</v>
      </c>
      <c r="I465" s="26"/>
      <c r="J465" s="26"/>
      <c r="K465" s="26"/>
      <c r="L465" s="26"/>
      <c r="M465" s="26"/>
      <c r="N465" s="26"/>
    </row>
    <row r="466" spans="1:14" x14ac:dyDescent="0.25">
      <c r="A466" s="25"/>
      <c r="B466" s="21"/>
      <c r="C466" s="21"/>
      <c r="D466" s="21"/>
      <c r="E466" s="22"/>
      <c r="H466" s="14">
        <f t="shared" si="9"/>
        <v>0</v>
      </c>
      <c r="I466" s="26"/>
      <c r="J466" s="26"/>
      <c r="K466" s="26"/>
      <c r="L466" s="26"/>
      <c r="M466" s="26"/>
      <c r="N466" s="26"/>
    </row>
    <row r="467" spans="1:14" x14ac:dyDescent="0.25">
      <c r="A467" s="25"/>
      <c r="B467" s="21"/>
      <c r="C467" s="21"/>
      <c r="D467" s="21"/>
      <c r="E467" s="22"/>
      <c r="H467" s="14">
        <f t="shared" si="9"/>
        <v>0</v>
      </c>
      <c r="I467" s="26"/>
      <c r="J467" s="26"/>
      <c r="K467" s="26"/>
      <c r="L467" s="26"/>
      <c r="M467" s="26"/>
      <c r="N467" s="26"/>
    </row>
    <row r="468" spans="1:14" x14ac:dyDescent="0.25">
      <c r="A468" s="25"/>
      <c r="B468" s="21"/>
      <c r="C468" s="21"/>
      <c r="D468" s="21"/>
      <c r="E468" s="22"/>
      <c r="H468" s="14">
        <f t="shared" si="9"/>
        <v>0</v>
      </c>
      <c r="I468" s="26"/>
      <c r="J468" s="26"/>
      <c r="K468" s="26"/>
      <c r="L468" s="26"/>
      <c r="M468" s="26"/>
      <c r="N468" s="26"/>
    </row>
    <row r="469" spans="1:14" x14ac:dyDescent="0.25">
      <c r="A469" s="25"/>
      <c r="B469" s="21"/>
      <c r="C469" s="21"/>
      <c r="D469" s="21"/>
      <c r="E469" s="22"/>
      <c r="H469" s="14">
        <f t="shared" si="9"/>
        <v>0</v>
      </c>
      <c r="I469" s="26"/>
      <c r="J469" s="26"/>
      <c r="K469" s="26"/>
      <c r="L469" s="26"/>
      <c r="M469" s="26"/>
      <c r="N469" s="26"/>
    </row>
    <row r="470" spans="1:14" x14ac:dyDescent="0.25">
      <c r="A470" s="25"/>
      <c r="B470" s="21"/>
      <c r="C470" s="21"/>
      <c r="D470" s="21"/>
      <c r="E470" s="22"/>
      <c r="H470" s="14">
        <f t="shared" si="9"/>
        <v>0</v>
      </c>
      <c r="I470" s="26"/>
      <c r="J470" s="26"/>
      <c r="K470" s="26"/>
      <c r="L470" s="26"/>
      <c r="M470" s="26"/>
      <c r="N470" s="26"/>
    </row>
    <row r="471" spans="1:14" x14ac:dyDescent="0.25">
      <c r="A471" s="25"/>
      <c r="B471" s="21"/>
      <c r="C471" s="21"/>
      <c r="D471" s="21"/>
      <c r="E471" s="22"/>
      <c r="H471" s="14">
        <f t="shared" si="9"/>
        <v>0</v>
      </c>
      <c r="I471" s="26"/>
      <c r="J471" s="26"/>
      <c r="K471" s="26"/>
      <c r="L471" s="26"/>
      <c r="M471" s="26"/>
      <c r="N471" s="26"/>
    </row>
    <row r="472" spans="1:14" x14ac:dyDescent="0.25">
      <c r="A472" s="25"/>
      <c r="B472" s="21"/>
      <c r="C472" s="21"/>
      <c r="D472" s="21"/>
      <c r="E472" s="22"/>
      <c r="H472" s="14">
        <f t="shared" si="9"/>
        <v>0</v>
      </c>
      <c r="I472" s="26"/>
      <c r="J472" s="26"/>
      <c r="K472" s="26"/>
      <c r="L472" s="26"/>
      <c r="M472" s="26"/>
      <c r="N472" s="26"/>
    </row>
    <row r="473" spans="1:14" x14ac:dyDescent="0.25">
      <c r="A473" s="25"/>
      <c r="B473" s="21"/>
      <c r="C473" s="21"/>
      <c r="D473" s="21"/>
      <c r="E473" s="22"/>
      <c r="H473" s="14">
        <f t="shared" si="9"/>
        <v>0</v>
      </c>
      <c r="I473" s="26"/>
      <c r="J473" s="26"/>
      <c r="K473" s="26"/>
      <c r="L473" s="26"/>
      <c r="M473" s="26"/>
      <c r="N473" s="26"/>
    </row>
    <row r="474" spans="1:14" x14ac:dyDescent="0.25">
      <c r="A474" s="25"/>
      <c r="B474" s="21"/>
      <c r="C474" s="21"/>
      <c r="D474" s="21"/>
      <c r="E474" s="22"/>
      <c r="H474" s="14">
        <f t="shared" si="9"/>
        <v>0</v>
      </c>
      <c r="I474" s="26"/>
      <c r="J474" s="26"/>
      <c r="K474" s="26"/>
      <c r="L474" s="26"/>
      <c r="M474" s="26"/>
      <c r="N474" s="26"/>
    </row>
    <row r="475" spans="1:14" x14ac:dyDescent="0.25">
      <c r="A475" s="25"/>
      <c r="B475" s="21"/>
      <c r="C475" s="21"/>
      <c r="D475" s="21"/>
      <c r="E475" s="22"/>
      <c r="H475" s="14">
        <f t="shared" si="9"/>
        <v>0</v>
      </c>
      <c r="I475" s="26"/>
      <c r="J475" s="26"/>
      <c r="K475" s="26"/>
      <c r="L475" s="26"/>
      <c r="M475" s="26"/>
      <c r="N475" s="26"/>
    </row>
    <row r="476" spans="1:14" x14ac:dyDescent="0.25">
      <c r="A476" s="25"/>
      <c r="B476" s="21"/>
      <c r="C476" s="21"/>
      <c r="D476" s="21"/>
      <c r="E476" s="22"/>
      <c r="H476" s="14">
        <f t="shared" si="9"/>
        <v>0</v>
      </c>
      <c r="I476" s="26"/>
      <c r="J476" s="26"/>
      <c r="K476" s="26"/>
      <c r="L476" s="26"/>
      <c r="M476" s="26"/>
      <c r="N476" s="26"/>
    </row>
    <row r="477" spans="1:14" x14ac:dyDescent="0.25">
      <c r="A477" s="25"/>
      <c r="B477" s="21"/>
      <c r="C477" s="21"/>
      <c r="D477" s="21"/>
      <c r="E477" s="22"/>
      <c r="H477" s="14">
        <f t="shared" si="9"/>
        <v>0</v>
      </c>
      <c r="I477" s="26"/>
      <c r="J477" s="26"/>
      <c r="K477" s="26"/>
      <c r="L477" s="26"/>
      <c r="M477" s="26"/>
      <c r="N477" s="26"/>
    </row>
    <row r="478" spans="1:14" x14ac:dyDescent="0.25">
      <c r="A478" s="25"/>
      <c r="B478" s="21"/>
      <c r="C478" s="21"/>
      <c r="D478" s="21"/>
      <c r="E478" s="22"/>
      <c r="H478" s="14">
        <f t="shared" si="9"/>
        <v>0</v>
      </c>
      <c r="I478" s="26"/>
      <c r="J478" s="26"/>
      <c r="K478" s="26"/>
      <c r="L478" s="26"/>
      <c r="M478" s="26"/>
      <c r="N478" s="26"/>
    </row>
    <row r="479" spans="1:14" x14ac:dyDescent="0.25">
      <c r="A479" s="25"/>
      <c r="B479" s="21"/>
      <c r="C479" s="21"/>
      <c r="D479" s="21"/>
      <c r="E479" s="22"/>
      <c r="H479" s="14">
        <f t="shared" si="9"/>
        <v>0</v>
      </c>
      <c r="I479" s="26"/>
      <c r="J479" s="26"/>
      <c r="K479" s="26"/>
      <c r="L479" s="26"/>
      <c r="M479" s="26"/>
      <c r="N479" s="26"/>
    </row>
    <row r="480" spans="1:14" x14ac:dyDescent="0.25">
      <c r="A480" s="25"/>
      <c r="B480" s="21"/>
      <c r="C480" s="21"/>
      <c r="D480" s="21"/>
      <c r="E480" s="22"/>
      <c r="H480" s="14">
        <f t="shared" si="9"/>
        <v>0</v>
      </c>
      <c r="I480" s="26"/>
      <c r="J480" s="26"/>
      <c r="K480" s="26"/>
      <c r="L480" s="26"/>
      <c r="M480" s="26"/>
      <c r="N480" s="26"/>
    </row>
    <row r="481" spans="1:14" x14ac:dyDescent="0.25">
      <c r="A481" s="25"/>
      <c r="B481" s="21"/>
      <c r="C481" s="21"/>
      <c r="D481" s="21"/>
      <c r="E481" s="22"/>
      <c r="H481" s="14">
        <f t="shared" si="9"/>
        <v>0</v>
      </c>
      <c r="I481" s="26"/>
      <c r="J481" s="26"/>
      <c r="K481" s="26"/>
      <c r="L481" s="26"/>
      <c r="M481" s="26"/>
      <c r="N481" s="26"/>
    </row>
    <row r="482" spans="1:14" x14ac:dyDescent="0.25">
      <c r="A482" s="25"/>
      <c r="B482" s="21"/>
      <c r="C482" s="21"/>
      <c r="D482" s="21"/>
      <c r="E482" s="22"/>
      <c r="H482" s="14">
        <f t="shared" si="9"/>
        <v>0</v>
      </c>
      <c r="I482" s="26"/>
      <c r="J482" s="26"/>
      <c r="K482" s="26"/>
      <c r="L482" s="26"/>
      <c r="M482" s="26"/>
      <c r="N482" s="26"/>
    </row>
    <row r="483" spans="1:14" x14ac:dyDescent="0.25">
      <c r="A483" s="25"/>
      <c r="B483" s="21"/>
      <c r="C483" s="21"/>
      <c r="D483" s="21"/>
      <c r="E483" s="22"/>
      <c r="H483" s="14">
        <f t="shared" si="9"/>
        <v>0</v>
      </c>
      <c r="I483" s="26"/>
      <c r="J483" s="26"/>
      <c r="K483" s="26"/>
      <c r="L483" s="26"/>
      <c r="M483" s="26"/>
      <c r="N483" s="26"/>
    </row>
    <row r="484" spans="1:14" x14ac:dyDescent="0.25">
      <c r="A484" s="25"/>
      <c r="B484" s="21"/>
      <c r="C484" s="21"/>
      <c r="D484" s="21"/>
      <c r="E484" s="22"/>
      <c r="H484" s="14">
        <f t="shared" si="9"/>
        <v>0</v>
      </c>
      <c r="I484" s="26"/>
      <c r="J484" s="26"/>
      <c r="K484" s="26"/>
      <c r="L484" s="26"/>
      <c r="M484" s="26"/>
      <c r="N484" s="26"/>
    </row>
    <row r="485" spans="1:14" x14ac:dyDescent="0.25">
      <c r="A485" s="25"/>
      <c r="B485" s="21"/>
      <c r="C485" s="21"/>
      <c r="D485" s="21"/>
      <c r="E485" s="22"/>
      <c r="H485" s="14">
        <f t="shared" si="9"/>
        <v>0</v>
      </c>
      <c r="I485" s="26"/>
      <c r="J485" s="26"/>
      <c r="K485" s="26"/>
      <c r="L485" s="26"/>
      <c r="M485" s="26"/>
      <c r="N485" s="26"/>
    </row>
    <row r="486" spans="1:14" x14ac:dyDescent="0.25">
      <c r="A486" s="25"/>
      <c r="B486" s="21"/>
      <c r="C486" s="21"/>
      <c r="D486" s="21"/>
      <c r="E486" s="22"/>
      <c r="H486" s="14">
        <f t="shared" si="9"/>
        <v>0</v>
      </c>
      <c r="I486" s="26"/>
      <c r="J486" s="26"/>
      <c r="K486" s="26"/>
      <c r="L486" s="26"/>
      <c r="M486" s="26"/>
      <c r="N486" s="26"/>
    </row>
    <row r="487" spans="1:14" x14ac:dyDescent="0.25">
      <c r="A487" s="25"/>
      <c r="B487" s="21"/>
      <c r="C487" s="21"/>
      <c r="D487" s="21"/>
      <c r="E487" s="22"/>
      <c r="H487" s="14">
        <f t="shared" si="9"/>
        <v>0</v>
      </c>
      <c r="I487" s="26"/>
      <c r="J487" s="26"/>
      <c r="K487" s="26"/>
      <c r="L487" s="26"/>
      <c r="M487" s="26"/>
      <c r="N487" s="26"/>
    </row>
    <row r="488" spans="1:14" x14ac:dyDescent="0.25">
      <c r="A488" s="25"/>
      <c r="B488" s="21"/>
      <c r="C488" s="21"/>
      <c r="D488" s="21"/>
      <c r="E488" s="22"/>
      <c r="H488" s="14">
        <f t="shared" si="9"/>
        <v>0</v>
      </c>
      <c r="I488" s="26"/>
      <c r="J488" s="26"/>
      <c r="K488" s="26"/>
      <c r="L488" s="26"/>
      <c r="M488" s="26"/>
      <c r="N488" s="26"/>
    </row>
    <row r="489" spans="1:14" x14ac:dyDescent="0.25">
      <c r="A489" s="25"/>
      <c r="B489" s="21"/>
      <c r="C489" s="21"/>
      <c r="D489" s="21"/>
      <c r="E489" s="22"/>
      <c r="H489" s="14">
        <f t="shared" si="9"/>
        <v>0</v>
      </c>
      <c r="I489" s="26"/>
      <c r="J489" s="26"/>
      <c r="K489" s="26"/>
      <c r="L489" s="26"/>
      <c r="M489" s="26"/>
      <c r="N489" s="26"/>
    </row>
    <row r="490" spans="1:14" x14ac:dyDescent="0.25">
      <c r="A490" s="25"/>
      <c r="B490" s="21"/>
      <c r="C490" s="21"/>
      <c r="D490" s="21"/>
      <c r="E490" s="22"/>
      <c r="H490" s="14">
        <f t="shared" si="9"/>
        <v>0</v>
      </c>
      <c r="I490" s="26"/>
      <c r="J490" s="26"/>
      <c r="K490" s="26"/>
      <c r="L490" s="26"/>
      <c r="M490" s="26"/>
      <c r="N490" s="26"/>
    </row>
    <row r="491" spans="1:14" x14ac:dyDescent="0.25">
      <c r="I491" s="26"/>
      <c r="J491" s="26"/>
      <c r="K491" s="26"/>
      <c r="L491" s="26"/>
      <c r="M491" s="26"/>
      <c r="N491" s="26"/>
    </row>
    <row r="492" spans="1:14" x14ac:dyDescent="0.25">
      <c r="I492" s="26"/>
      <c r="J492" s="26"/>
      <c r="K492" s="26"/>
      <c r="L492" s="26"/>
      <c r="M492" s="26"/>
      <c r="N492" s="26"/>
    </row>
    <row r="493" spans="1:14" x14ac:dyDescent="0.25">
      <c r="I493" s="26"/>
      <c r="J493" s="26"/>
      <c r="K493" s="26"/>
      <c r="L493" s="26"/>
      <c r="M493" s="26"/>
      <c r="N493" s="26"/>
    </row>
    <row r="494" spans="1:14" x14ac:dyDescent="0.25">
      <c r="I494" s="26"/>
      <c r="J494" s="26"/>
      <c r="K494" s="26"/>
      <c r="L494" s="26"/>
      <c r="M494" s="26"/>
      <c r="N494" s="26"/>
    </row>
    <row r="495" spans="1:14" x14ac:dyDescent="0.25">
      <c r="I495" s="26"/>
      <c r="J495" s="26"/>
      <c r="K495" s="26"/>
      <c r="L495" s="26"/>
      <c r="M495" s="26"/>
      <c r="N495" s="26"/>
    </row>
    <row r="496" spans="1:14" x14ac:dyDescent="0.25">
      <c r="I496" s="26"/>
      <c r="J496" s="26"/>
      <c r="K496" s="26"/>
      <c r="L496" s="26"/>
      <c r="M496" s="26"/>
      <c r="N496" s="26"/>
    </row>
    <row r="497" spans="9:14" x14ac:dyDescent="0.25">
      <c r="I497" s="26"/>
      <c r="J497" s="26"/>
      <c r="K497" s="26"/>
      <c r="L497" s="26"/>
      <c r="M497" s="26"/>
      <c r="N497" s="26"/>
    </row>
    <row r="498" spans="9:14" x14ac:dyDescent="0.25">
      <c r="I498" s="26"/>
      <c r="J498" s="26"/>
      <c r="K498" s="26"/>
      <c r="L498" s="26"/>
      <c r="M498" s="26"/>
      <c r="N498" s="26"/>
    </row>
    <row r="499" spans="9:14" x14ac:dyDescent="0.25">
      <c r="I499" s="26"/>
      <c r="J499" s="26"/>
      <c r="K499" s="26"/>
      <c r="L499" s="26"/>
      <c r="M499" s="26"/>
      <c r="N499" s="26"/>
    </row>
    <row r="500" spans="9:14" x14ac:dyDescent="0.25">
      <c r="I500" s="26"/>
      <c r="J500" s="26"/>
      <c r="K500" s="26"/>
      <c r="L500" s="26"/>
      <c r="M500" s="26"/>
      <c r="N500" s="26"/>
    </row>
    <row r="501" spans="9:14" x14ac:dyDescent="0.25">
      <c r="I501" s="26"/>
      <c r="J501" s="26"/>
      <c r="K501" s="26"/>
      <c r="L501" s="26"/>
      <c r="M501" s="26"/>
      <c r="N501" s="26"/>
    </row>
    <row r="502" spans="9:14" x14ac:dyDescent="0.25">
      <c r="I502" s="26"/>
      <c r="J502" s="26"/>
      <c r="K502" s="26"/>
      <c r="L502" s="26"/>
      <c r="M502" s="26"/>
      <c r="N502" s="26"/>
    </row>
  </sheetData>
  <sheetProtection algorithmName="SHA-512" hashValue="/oxzro781wY3etIqo1ry8IafVUjRMpiO4TPwe29Kp/VCQId+FPsAHi8vxtBOQ85pVM7XvFtbcKna+6yBKYvTVA==" saltValue="DfNqqvbKZEPpNGs8Jhj9Fw==" spinCount="100000" sheet="1" objects="1" scenarios="1" selectLockedCells="1" sort="0"/>
  <dataValidations count="3">
    <dataValidation type="list" allowBlank="1" showErrorMessage="1" sqref="WVK983045:WVK983099 IY5:IY59 SU5:SU59 ACQ5:ACQ59 AMM5:AMM59 AWI5:AWI59 BGE5:BGE59 BQA5:BQA59 BZW5:BZW59 CJS5:CJS59 CTO5:CTO59 DDK5:DDK59 DNG5:DNG59 DXC5:DXC59 EGY5:EGY59 EQU5:EQU59 FAQ5:FAQ59 FKM5:FKM59 FUI5:FUI59 GEE5:GEE59 GOA5:GOA59 GXW5:GXW59 HHS5:HHS59 HRO5:HRO59 IBK5:IBK59 ILG5:ILG59 IVC5:IVC59 JEY5:JEY59 JOU5:JOU59 JYQ5:JYQ59 KIM5:KIM59 KSI5:KSI59 LCE5:LCE59 LMA5:LMA59 LVW5:LVW59 MFS5:MFS59 MPO5:MPO59 MZK5:MZK59 NJG5:NJG59 NTC5:NTC59 OCY5:OCY59 OMU5:OMU59 OWQ5:OWQ59 PGM5:PGM59 PQI5:PQI59 QAE5:QAE59 QKA5:QKA59 QTW5:QTW59 RDS5:RDS59 RNO5:RNO59 RXK5:RXK59 SHG5:SHG59 SRC5:SRC59 TAY5:TAY59 TKU5:TKU59 TUQ5:TUQ59 UEM5:UEM59 UOI5:UOI59 UYE5:UYE59 VIA5:VIA59 VRW5:VRW59 WBS5:WBS59 WLO5:WLO59 WVK5:WVK59 C65541:C65595 IY65541:IY65595 SU65541:SU65595 ACQ65541:ACQ65595 AMM65541:AMM65595 AWI65541:AWI65595 BGE65541:BGE65595 BQA65541:BQA65595 BZW65541:BZW65595 CJS65541:CJS65595 CTO65541:CTO65595 DDK65541:DDK65595 DNG65541:DNG65595 DXC65541:DXC65595 EGY65541:EGY65595 EQU65541:EQU65595 FAQ65541:FAQ65595 FKM65541:FKM65595 FUI65541:FUI65595 GEE65541:GEE65595 GOA65541:GOA65595 GXW65541:GXW65595 HHS65541:HHS65595 HRO65541:HRO65595 IBK65541:IBK65595 ILG65541:ILG65595 IVC65541:IVC65595 JEY65541:JEY65595 JOU65541:JOU65595 JYQ65541:JYQ65595 KIM65541:KIM65595 KSI65541:KSI65595 LCE65541:LCE65595 LMA65541:LMA65595 LVW65541:LVW65595 MFS65541:MFS65595 MPO65541:MPO65595 MZK65541:MZK65595 NJG65541:NJG65595 NTC65541:NTC65595 OCY65541:OCY65595 OMU65541:OMU65595 OWQ65541:OWQ65595 PGM65541:PGM65595 PQI65541:PQI65595 QAE65541:QAE65595 QKA65541:QKA65595 QTW65541:QTW65595 RDS65541:RDS65595 RNO65541:RNO65595 RXK65541:RXK65595 SHG65541:SHG65595 SRC65541:SRC65595 TAY65541:TAY65595 TKU65541:TKU65595 TUQ65541:TUQ65595 UEM65541:UEM65595 UOI65541:UOI65595 UYE65541:UYE65595 VIA65541:VIA65595 VRW65541:VRW65595 WBS65541:WBS65595 WLO65541:WLO65595 WVK65541:WVK65595 C131077:C131131 IY131077:IY131131 SU131077:SU131131 ACQ131077:ACQ131131 AMM131077:AMM131131 AWI131077:AWI131131 BGE131077:BGE131131 BQA131077:BQA131131 BZW131077:BZW131131 CJS131077:CJS131131 CTO131077:CTO131131 DDK131077:DDK131131 DNG131077:DNG131131 DXC131077:DXC131131 EGY131077:EGY131131 EQU131077:EQU131131 FAQ131077:FAQ131131 FKM131077:FKM131131 FUI131077:FUI131131 GEE131077:GEE131131 GOA131077:GOA131131 GXW131077:GXW131131 HHS131077:HHS131131 HRO131077:HRO131131 IBK131077:IBK131131 ILG131077:ILG131131 IVC131077:IVC131131 JEY131077:JEY131131 JOU131077:JOU131131 JYQ131077:JYQ131131 KIM131077:KIM131131 KSI131077:KSI131131 LCE131077:LCE131131 LMA131077:LMA131131 LVW131077:LVW131131 MFS131077:MFS131131 MPO131077:MPO131131 MZK131077:MZK131131 NJG131077:NJG131131 NTC131077:NTC131131 OCY131077:OCY131131 OMU131077:OMU131131 OWQ131077:OWQ131131 PGM131077:PGM131131 PQI131077:PQI131131 QAE131077:QAE131131 QKA131077:QKA131131 QTW131077:QTW131131 RDS131077:RDS131131 RNO131077:RNO131131 RXK131077:RXK131131 SHG131077:SHG131131 SRC131077:SRC131131 TAY131077:TAY131131 TKU131077:TKU131131 TUQ131077:TUQ131131 UEM131077:UEM131131 UOI131077:UOI131131 UYE131077:UYE131131 VIA131077:VIA131131 VRW131077:VRW131131 WBS131077:WBS131131 WLO131077:WLO131131 WVK131077:WVK131131 C196613:C196667 IY196613:IY196667 SU196613:SU196667 ACQ196613:ACQ196667 AMM196613:AMM196667 AWI196613:AWI196667 BGE196613:BGE196667 BQA196613:BQA196667 BZW196613:BZW196667 CJS196613:CJS196667 CTO196613:CTO196667 DDK196613:DDK196667 DNG196613:DNG196667 DXC196613:DXC196667 EGY196613:EGY196667 EQU196613:EQU196667 FAQ196613:FAQ196667 FKM196613:FKM196667 FUI196613:FUI196667 GEE196613:GEE196667 GOA196613:GOA196667 GXW196613:GXW196667 HHS196613:HHS196667 HRO196613:HRO196667 IBK196613:IBK196667 ILG196613:ILG196667 IVC196613:IVC196667 JEY196613:JEY196667 JOU196613:JOU196667 JYQ196613:JYQ196667 KIM196613:KIM196667 KSI196613:KSI196667 LCE196613:LCE196667 LMA196613:LMA196667 LVW196613:LVW196667 MFS196613:MFS196667 MPO196613:MPO196667 MZK196613:MZK196667 NJG196613:NJG196667 NTC196613:NTC196667 OCY196613:OCY196667 OMU196613:OMU196667 OWQ196613:OWQ196667 PGM196613:PGM196667 PQI196613:PQI196667 QAE196613:QAE196667 QKA196613:QKA196667 QTW196613:QTW196667 RDS196613:RDS196667 RNO196613:RNO196667 RXK196613:RXK196667 SHG196613:SHG196667 SRC196613:SRC196667 TAY196613:TAY196667 TKU196613:TKU196667 TUQ196613:TUQ196667 UEM196613:UEM196667 UOI196613:UOI196667 UYE196613:UYE196667 VIA196613:VIA196667 VRW196613:VRW196667 WBS196613:WBS196667 WLO196613:WLO196667 WVK196613:WVK196667 C262149:C262203 IY262149:IY262203 SU262149:SU262203 ACQ262149:ACQ262203 AMM262149:AMM262203 AWI262149:AWI262203 BGE262149:BGE262203 BQA262149:BQA262203 BZW262149:BZW262203 CJS262149:CJS262203 CTO262149:CTO262203 DDK262149:DDK262203 DNG262149:DNG262203 DXC262149:DXC262203 EGY262149:EGY262203 EQU262149:EQU262203 FAQ262149:FAQ262203 FKM262149:FKM262203 FUI262149:FUI262203 GEE262149:GEE262203 GOA262149:GOA262203 GXW262149:GXW262203 HHS262149:HHS262203 HRO262149:HRO262203 IBK262149:IBK262203 ILG262149:ILG262203 IVC262149:IVC262203 JEY262149:JEY262203 JOU262149:JOU262203 JYQ262149:JYQ262203 KIM262149:KIM262203 KSI262149:KSI262203 LCE262149:LCE262203 LMA262149:LMA262203 LVW262149:LVW262203 MFS262149:MFS262203 MPO262149:MPO262203 MZK262149:MZK262203 NJG262149:NJG262203 NTC262149:NTC262203 OCY262149:OCY262203 OMU262149:OMU262203 OWQ262149:OWQ262203 PGM262149:PGM262203 PQI262149:PQI262203 QAE262149:QAE262203 QKA262149:QKA262203 QTW262149:QTW262203 RDS262149:RDS262203 RNO262149:RNO262203 RXK262149:RXK262203 SHG262149:SHG262203 SRC262149:SRC262203 TAY262149:TAY262203 TKU262149:TKU262203 TUQ262149:TUQ262203 UEM262149:UEM262203 UOI262149:UOI262203 UYE262149:UYE262203 VIA262149:VIA262203 VRW262149:VRW262203 WBS262149:WBS262203 WLO262149:WLO262203 WVK262149:WVK262203 C327685:C327739 IY327685:IY327739 SU327685:SU327739 ACQ327685:ACQ327739 AMM327685:AMM327739 AWI327685:AWI327739 BGE327685:BGE327739 BQA327685:BQA327739 BZW327685:BZW327739 CJS327685:CJS327739 CTO327685:CTO327739 DDK327685:DDK327739 DNG327685:DNG327739 DXC327685:DXC327739 EGY327685:EGY327739 EQU327685:EQU327739 FAQ327685:FAQ327739 FKM327685:FKM327739 FUI327685:FUI327739 GEE327685:GEE327739 GOA327685:GOA327739 GXW327685:GXW327739 HHS327685:HHS327739 HRO327685:HRO327739 IBK327685:IBK327739 ILG327685:ILG327739 IVC327685:IVC327739 JEY327685:JEY327739 JOU327685:JOU327739 JYQ327685:JYQ327739 KIM327685:KIM327739 KSI327685:KSI327739 LCE327685:LCE327739 LMA327685:LMA327739 LVW327685:LVW327739 MFS327685:MFS327739 MPO327685:MPO327739 MZK327685:MZK327739 NJG327685:NJG327739 NTC327685:NTC327739 OCY327685:OCY327739 OMU327685:OMU327739 OWQ327685:OWQ327739 PGM327685:PGM327739 PQI327685:PQI327739 QAE327685:QAE327739 QKA327685:QKA327739 QTW327685:QTW327739 RDS327685:RDS327739 RNO327685:RNO327739 RXK327685:RXK327739 SHG327685:SHG327739 SRC327685:SRC327739 TAY327685:TAY327739 TKU327685:TKU327739 TUQ327685:TUQ327739 UEM327685:UEM327739 UOI327685:UOI327739 UYE327685:UYE327739 VIA327685:VIA327739 VRW327685:VRW327739 WBS327685:WBS327739 WLO327685:WLO327739 WVK327685:WVK327739 C393221:C393275 IY393221:IY393275 SU393221:SU393275 ACQ393221:ACQ393275 AMM393221:AMM393275 AWI393221:AWI393275 BGE393221:BGE393275 BQA393221:BQA393275 BZW393221:BZW393275 CJS393221:CJS393275 CTO393221:CTO393275 DDK393221:DDK393275 DNG393221:DNG393275 DXC393221:DXC393275 EGY393221:EGY393275 EQU393221:EQU393275 FAQ393221:FAQ393275 FKM393221:FKM393275 FUI393221:FUI393275 GEE393221:GEE393275 GOA393221:GOA393275 GXW393221:GXW393275 HHS393221:HHS393275 HRO393221:HRO393275 IBK393221:IBK393275 ILG393221:ILG393275 IVC393221:IVC393275 JEY393221:JEY393275 JOU393221:JOU393275 JYQ393221:JYQ393275 KIM393221:KIM393275 KSI393221:KSI393275 LCE393221:LCE393275 LMA393221:LMA393275 LVW393221:LVW393275 MFS393221:MFS393275 MPO393221:MPO393275 MZK393221:MZK393275 NJG393221:NJG393275 NTC393221:NTC393275 OCY393221:OCY393275 OMU393221:OMU393275 OWQ393221:OWQ393275 PGM393221:PGM393275 PQI393221:PQI393275 QAE393221:QAE393275 QKA393221:QKA393275 QTW393221:QTW393275 RDS393221:RDS393275 RNO393221:RNO393275 RXK393221:RXK393275 SHG393221:SHG393275 SRC393221:SRC393275 TAY393221:TAY393275 TKU393221:TKU393275 TUQ393221:TUQ393275 UEM393221:UEM393275 UOI393221:UOI393275 UYE393221:UYE393275 VIA393221:VIA393275 VRW393221:VRW393275 WBS393221:WBS393275 WLO393221:WLO393275 WVK393221:WVK393275 C458757:C458811 IY458757:IY458811 SU458757:SU458811 ACQ458757:ACQ458811 AMM458757:AMM458811 AWI458757:AWI458811 BGE458757:BGE458811 BQA458757:BQA458811 BZW458757:BZW458811 CJS458757:CJS458811 CTO458757:CTO458811 DDK458757:DDK458811 DNG458757:DNG458811 DXC458757:DXC458811 EGY458757:EGY458811 EQU458757:EQU458811 FAQ458757:FAQ458811 FKM458757:FKM458811 FUI458757:FUI458811 GEE458757:GEE458811 GOA458757:GOA458811 GXW458757:GXW458811 HHS458757:HHS458811 HRO458757:HRO458811 IBK458757:IBK458811 ILG458757:ILG458811 IVC458757:IVC458811 JEY458757:JEY458811 JOU458757:JOU458811 JYQ458757:JYQ458811 KIM458757:KIM458811 KSI458757:KSI458811 LCE458757:LCE458811 LMA458757:LMA458811 LVW458757:LVW458811 MFS458757:MFS458811 MPO458757:MPO458811 MZK458757:MZK458811 NJG458757:NJG458811 NTC458757:NTC458811 OCY458757:OCY458811 OMU458757:OMU458811 OWQ458757:OWQ458811 PGM458757:PGM458811 PQI458757:PQI458811 QAE458757:QAE458811 QKA458757:QKA458811 QTW458757:QTW458811 RDS458757:RDS458811 RNO458757:RNO458811 RXK458757:RXK458811 SHG458757:SHG458811 SRC458757:SRC458811 TAY458757:TAY458811 TKU458757:TKU458811 TUQ458757:TUQ458811 UEM458757:UEM458811 UOI458757:UOI458811 UYE458757:UYE458811 VIA458757:VIA458811 VRW458757:VRW458811 WBS458757:WBS458811 WLO458757:WLO458811 WVK458757:WVK458811 C524293:C524347 IY524293:IY524347 SU524293:SU524347 ACQ524293:ACQ524347 AMM524293:AMM524347 AWI524293:AWI524347 BGE524293:BGE524347 BQA524293:BQA524347 BZW524293:BZW524347 CJS524293:CJS524347 CTO524293:CTO524347 DDK524293:DDK524347 DNG524293:DNG524347 DXC524293:DXC524347 EGY524293:EGY524347 EQU524293:EQU524347 FAQ524293:FAQ524347 FKM524293:FKM524347 FUI524293:FUI524347 GEE524293:GEE524347 GOA524293:GOA524347 GXW524293:GXW524347 HHS524293:HHS524347 HRO524293:HRO524347 IBK524293:IBK524347 ILG524293:ILG524347 IVC524293:IVC524347 JEY524293:JEY524347 JOU524293:JOU524347 JYQ524293:JYQ524347 KIM524293:KIM524347 KSI524293:KSI524347 LCE524293:LCE524347 LMA524293:LMA524347 LVW524293:LVW524347 MFS524293:MFS524347 MPO524293:MPO524347 MZK524293:MZK524347 NJG524293:NJG524347 NTC524293:NTC524347 OCY524293:OCY524347 OMU524293:OMU524347 OWQ524293:OWQ524347 PGM524293:PGM524347 PQI524293:PQI524347 QAE524293:QAE524347 QKA524293:QKA524347 QTW524293:QTW524347 RDS524293:RDS524347 RNO524293:RNO524347 RXK524293:RXK524347 SHG524293:SHG524347 SRC524293:SRC524347 TAY524293:TAY524347 TKU524293:TKU524347 TUQ524293:TUQ524347 UEM524293:UEM524347 UOI524293:UOI524347 UYE524293:UYE524347 VIA524293:VIA524347 VRW524293:VRW524347 WBS524293:WBS524347 WLO524293:WLO524347 WVK524293:WVK524347 C589829:C589883 IY589829:IY589883 SU589829:SU589883 ACQ589829:ACQ589883 AMM589829:AMM589883 AWI589829:AWI589883 BGE589829:BGE589883 BQA589829:BQA589883 BZW589829:BZW589883 CJS589829:CJS589883 CTO589829:CTO589883 DDK589829:DDK589883 DNG589829:DNG589883 DXC589829:DXC589883 EGY589829:EGY589883 EQU589829:EQU589883 FAQ589829:FAQ589883 FKM589829:FKM589883 FUI589829:FUI589883 GEE589829:GEE589883 GOA589829:GOA589883 GXW589829:GXW589883 HHS589829:HHS589883 HRO589829:HRO589883 IBK589829:IBK589883 ILG589829:ILG589883 IVC589829:IVC589883 JEY589829:JEY589883 JOU589829:JOU589883 JYQ589829:JYQ589883 KIM589829:KIM589883 KSI589829:KSI589883 LCE589829:LCE589883 LMA589829:LMA589883 LVW589829:LVW589883 MFS589829:MFS589883 MPO589829:MPO589883 MZK589829:MZK589883 NJG589829:NJG589883 NTC589829:NTC589883 OCY589829:OCY589883 OMU589829:OMU589883 OWQ589829:OWQ589883 PGM589829:PGM589883 PQI589829:PQI589883 QAE589829:QAE589883 QKA589829:QKA589883 QTW589829:QTW589883 RDS589829:RDS589883 RNO589829:RNO589883 RXK589829:RXK589883 SHG589829:SHG589883 SRC589829:SRC589883 TAY589829:TAY589883 TKU589829:TKU589883 TUQ589829:TUQ589883 UEM589829:UEM589883 UOI589829:UOI589883 UYE589829:UYE589883 VIA589829:VIA589883 VRW589829:VRW589883 WBS589829:WBS589883 WLO589829:WLO589883 WVK589829:WVK589883 C655365:C655419 IY655365:IY655419 SU655365:SU655419 ACQ655365:ACQ655419 AMM655365:AMM655419 AWI655365:AWI655419 BGE655365:BGE655419 BQA655365:BQA655419 BZW655365:BZW655419 CJS655365:CJS655419 CTO655365:CTO655419 DDK655365:DDK655419 DNG655365:DNG655419 DXC655365:DXC655419 EGY655365:EGY655419 EQU655365:EQU655419 FAQ655365:FAQ655419 FKM655365:FKM655419 FUI655365:FUI655419 GEE655365:GEE655419 GOA655365:GOA655419 GXW655365:GXW655419 HHS655365:HHS655419 HRO655365:HRO655419 IBK655365:IBK655419 ILG655365:ILG655419 IVC655365:IVC655419 JEY655365:JEY655419 JOU655365:JOU655419 JYQ655365:JYQ655419 KIM655365:KIM655419 KSI655365:KSI655419 LCE655365:LCE655419 LMA655365:LMA655419 LVW655365:LVW655419 MFS655365:MFS655419 MPO655365:MPO655419 MZK655365:MZK655419 NJG655365:NJG655419 NTC655365:NTC655419 OCY655365:OCY655419 OMU655365:OMU655419 OWQ655365:OWQ655419 PGM655365:PGM655419 PQI655365:PQI655419 QAE655365:QAE655419 QKA655365:QKA655419 QTW655365:QTW655419 RDS655365:RDS655419 RNO655365:RNO655419 RXK655365:RXK655419 SHG655365:SHG655419 SRC655365:SRC655419 TAY655365:TAY655419 TKU655365:TKU655419 TUQ655365:TUQ655419 UEM655365:UEM655419 UOI655365:UOI655419 UYE655365:UYE655419 VIA655365:VIA655419 VRW655365:VRW655419 WBS655365:WBS655419 WLO655365:WLO655419 WVK655365:WVK655419 C720901:C720955 IY720901:IY720955 SU720901:SU720955 ACQ720901:ACQ720955 AMM720901:AMM720955 AWI720901:AWI720955 BGE720901:BGE720955 BQA720901:BQA720955 BZW720901:BZW720955 CJS720901:CJS720955 CTO720901:CTO720955 DDK720901:DDK720955 DNG720901:DNG720955 DXC720901:DXC720955 EGY720901:EGY720955 EQU720901:EQU720955 FAQ720901:FAQ720955 FKM720901:FKM720955 FUI720901:FUI720955 GEE720901:GEE720955 GOA720901:GOA720955 GXW720901:GXW720955 HHS720901:HHS720955 HRO720901:HRO720955 IBK720901:IBK720955 ILG720901:ILG720955 IVC720901:IVC720955 JEY720901:JEY720955 JOU720901:JOU720955 JYQ720901:JYQ720955 KIM720901:KIM720955 KSI720901:KSI720955 LCE720901:LCE720955 LMA720901:LMA720955 LVW720901:LVW720955 MFS720901:MFS720955 MPO720901:MPO720955 MZK720901:MZK720955 NJG720901:NJG720955 NTC720901:NTC720955 OCY720901:OCY720955 OMU720901:OMU720955 OWQ720901:OWQ720955 PGM720901:PGM720955 PQI720901:PQI720955 QAE720901:QAE720955 QKA720901:QKA720955 QTW720901:QTW720955 RDS720901:RDS720955 RNO720901:RNO720955 RXK720901:RXK720955 SHG720901:SHG720955 SRC720901:SRC720955 TAY720901:TAY720955 TKU720901:TKU720955 TUQ720901:TUQ720955 UEM720901:UEM720955 UOI720901:UOI720955 UYE720901:UYE720955 VIA720901:VIA720955 VRW720901:VRW720955 WBS720901:WBS720955 WLO720901:WLO720955 WVK720901:WVK720955 C786437:C786491 IY786437:IY786491 SU786437:SU786491 ACQ786437:ACQ786491 AMM786437:AMM786491 AWI786437:AWI786491 BGE786437:BGE786491 BQA786437:BQA786491 BZW786437:BZW786491 CJS786437:CJS786491 CTO786437:CTO786491 DDK786437:DDK786491 DNG786437:DNG786491 DXC786437:DXC786491 EGY786437:EGY786491 EQU786437:EQU786491 FAQ786437:FAQ786491 FKM786437:FKM786491 FUI786437:FUI786491 GEE786437:GEE786491 GOA786437:GOA786491 GXW786437:GXW786491 HHS786437:HHS786491 HRO786437:HRO786491 IBK786437:IBK786491 ILG786437:ILG786491 IVC786437:IVC786491 JEY786437:JEY786491 JOU786437:JOU786491 JYQ786437:JYQ786491 KIM786437:KIM786491 KSI786437:KSI786491 LCE786437:LCE786491 LMA786437:LMA786491 LVW786437:LVW786491 MFS786437:MFS786491 MPO786437:MPO786491 MZK786437:MZK786491 NJG786437:NJG786491 NTC786437:NTC786491 OCY786437:OCY786491 OMU786437:OMU786491 OWQ786437:OWQ786491 PGM786437:PGM786491 PQI786437:PQI786491 QAE786437:QAE786491 QKA786437:QKA786491 QTW786437:QTW786491 RDS786437:RDS786491 RNO786437:RNO786491 RXK786437:RXK786491 SHG786437:SHG786491 SRC786437:SRC786491 TAY786437:TAY786491 TKU786437:TKU786491 TUQ786437:TUQ786491 UEM786437:UEM786491 UOI786437:UOI786491 UYE786437:UYE786491 VIA786437:VIA786491 VRW786437:VRW786491 WBS786437:WBS786491 WLO786437:WLO786491 WVK786437:WVK786491 C851973:C852027 IY851973:IY852027 SU851973:SU852027 ACQ851973:ACQ852027 AMM851973:AMM852027 AWI851973:AWI852027 BGE851973:BGE852027 BQA851973:BQA852027 BZW851973:BZW852027 CJS851973:CJS852027 CTO851973:CTO852027 DDK851973:DDK852027 DNG851973:DNG852027 DXC851973:DXC852027 EGY851973:EGY852027 EQU851973:EQU852027 FAQ851973:FAQ852027 FKM851973:FKM852027 FUI851973:FUI852027 GEE851973:GEE852027 GOA851973:GOA852027 GXW851973:GXW852027 HHS851973:HHS852027 HRO851973:HRO852027 IBK851973:IBK852027 ILG851973:ILG852027 IVC851973:IVC852027 JEY851973:JEY852027 JOU851973:JOU852027 JYQ851973:JYQ852027 KIM851973:KIM852027 KSI851973:KSI852027 LCE851973:LCE852027 LMA851973:LMA852027 LVW851973:LVW852027 MFS851973:MFS852027 MPO851973:MPO852027 MZK851973:MZK852027 NJG851973:NJG852027 NTC851973:NTC852027 OCY851973:OCY852027 OMU851973:OMU852027 OWQ851973:OWQ852027 PGM851973:PGM852027 PQI851973:PQI852027 QAE851973:QAE852027 QKA851973:QKA852027 QTW851973:QTW852027 RDS851973:RDS852027 RNO851973:RNO852027 RXK851973:RXK852027 SHG851973:SHG852027 SRC851973:SRC852027 TAY851973:TAY852027 TKU851973:TKU852027 TUQ851973:TUQ852027 UEM851973:UEM852027 UOI851973:UOI852027 UYE851973:UYE852027 VIA851973:VIA852027 VRW851973:VRW852027 WBS851973:WBS852027 WLO851973:WLO852027 WVK851973:WVK852027 C917509:C917563 IY917509:IY917563 SU917509:SU917563 ACQ917509:ACQ917563 AMM917509:AMM917563 AWI917509:AWI917563 BGE917509:BGE917563 BQA917509:BQA917563 BZW917509:BZW917563 CJS917509:CJS917563 CTO917509:CTO917563 DDK917509:DDK917563 DNG917509:DNG917563 DXC917509:DXC917563 EGY917509:EGY917563 EQU917509:EQU917563 FAQ917509:FAQ917563 FKM917509:FKM917563 FUI917509:FUI917563 GEE917509:GEE917563 GOA917509:GOA917563 GXW917509:GXW917563 HHS917509:HHS917563 HRO917509:HRO917563 IBK917509:IBK917563 ILG917509:ILG917563 IVC917509:IVC917563 JEY917509:JEY917563 JOU917509:JOU917563 JYQ917509:JYQ917563 KIM917509:KIM917563 KSI917509:KSI917563 LCE917509:LCE917563 LMA917509:LMA917563 LVW917509:LVW917563 MFS917509:MFS917563 MPO917509:MPO917563 MZK917509:MZK917563 NJG917509:NJG917563 NTC917509:NTC917563 OCY917509:OCY917563 OMU917509:OMU917563 OWQ917509:OWQ917563 PGM917509:PGM917563 PQI917509:PQI917563 QAE917509:QAE917563 QKA917509:QKA917563 QTW917509:QTW917563 RDS917509:RDS917563 RNO917509:RNO917563 RXK917509:RXK917563 SHG917509:SHG917563 SRC917509:SRC917563 TAY917509:TAY917563 TKU917509:TKU917563 TUQ917509:TUQ917563 UEM917509:UEM917563 UOI917509:UOI917563 UYE917509:UYE917563 VIA917509:VIA917563 VRW917509:VRW917563 WBS917509:WBS917563 WLO917509:WLO917563 WVK917509:WVK917563 C983045:C983099 IY983045:IY983099 SU983045:SU983099 ACQ983045:ACQ983099 AMM983045:AMM983099 AWI983045:AWI983099 BGE983045:BGE983099 BQA983045:BQA983099 BZW983045:BZW983099 CJS983045:CJS983099 CTO983045:CTO983099 DDK983045:DDK983099 DNG983045:DNG983099 DXC983045:DXC983099 EGY983045:EGY983099 EQU983045:EQU983099 FAQ983045:FAQ983099 FKM983045:FKM983099 FUI983045:FUI983099 GEE983045:GEE983099 GOA983045:GOA983099 GXW983045:GXW983099 HHS983045:HHS983099 HRO983045:HRO983099 IBK983045:IBK983099 ILG983045:ILG983099 IVC983045:IVC983099 JEY983045:JEY983099 JOU983045:JOU983099 JYQ983045:JYQ983099 KIM983045:KIM983099 KSI983045:KSI983099 LCE983045:LCE983099 LMA983045:LMA983099 LVW983045:LVW983099 MFS983045:MFS983099 MPO983045:MPO983099 MZK983045:MZK983099 NJG983045:NJG983099 NTC983045:NTC983099 OCY983045:OCY983099 OMU983045:OMU983099 OWQ983045:OWQ983099 PGM983045:PGM983099 PQI983045:PQI983099 QAE983045:QAE983099 QKA983045:QKA983099 QTW983045:QTW983099 RDS983045:RDS983099 RNO983045:RNO983099 RXK983045:RXK983099 SHG983045:SHG983099 SRC983045:SRC983099 TAY983045:TAY983099 TKU983045:TKU983099 TUQ983045:TUQ983099 UEM983045:UEM983099 UOI983045:UOI983099 UYE983045:UYE983099 VIA983045:VIA983099 VRW983045:VRW983099 WBS983045:WBS983099 WLO983045:WLO983099 C5:C59">
      <formula1>"Instructive text,Information banner,Pop up header,Screen header,Pop up body text,Button,Tile,List content,Widget label - example: settings - Voice Gender (on or off),Descriptive text - this will be explanation text"</formula1>
      <formula2>0</formula2>
    </dataValidation>
    <dataValidation type="list" allowBlank="1" showErrorMessage="1" sqref="C65539 IY65539 SU65539 ACQ65539 AMM65539 AWI65539 BGE65539 BQA65539 BZW65539 CJS65539 CTO65539 DDK65539 DNG65539 DXC65539 EGY65539 EQU65539 FAQ65539 FKM65539 FUI65539 GEE65539 GOA65539 GXW65539 HHS65539 HRO65539 IBK65539 ILG65539 IVC65539 JEY65539 JOU65539 JYQ65539 KIM65539 KSI65539 LCE65539 LMA65539 LVW65539 MFS65539 MPO65539 MZK65539 NJG65539 NTC65539 OCY65539 OMU65539 OWQ65539 PGM65539 PQI65539 QAE65539 QKA65539 QTW65539 RDS65539 RNO65539 RXK65539 SHG65539 SRC65539 TAY65539 TKU65539 TUQ65539 UEM65539 UOI65539 UYE65539 VIA65539 VRW65539 WBS65539 WLO65539 WVK65539 C131075 IY131075 SU131075 ACQ131075 AMM131075 AWI131075 BGE131075 BQA131075 BZW131075 CJS131075 CTO131075 DDK131075 DNG131075 DXC131075 EGY131075 EQU131075 FAQ131075 FKM131075 FUI131075 GEE131075 GOA131075 GXW131075 HHS131075 HRO131075 IBK131075 ILG131075 IVC131075 JEY131075 JOU131075 JYQ131075 KIM131075 KSI131075 LCE131075 LMA131075 LVW131075 MFS131075 MPO131075 MZK131075 NJG131075 NTC131075 OCY131075 OMU131075 OWQ131075 PGM131075 PQI131075 QAE131075 QKA131075 QTW131075 RDS131075 RNO131075 RXK131075 SHG131075 SRC131075 TAY131075 TKU131075 TUQ131075 UEM131075 UOI131075 UYE131075 VIA131075 VRW131075 WBS131075 WLO131075 WVK131075 C196611 IY196611 SU196611 ACQ196611 AMM196611 AWI196611 BGE196611 BQA196611 BZW196611 CJS196611 CTO196611 DDK196611 DNG196611 DXC196611 EGY196611 EQU196611 FAQ196611 FKM196611 FUI196611 GEE196611 GOA196611 GXW196611 HHS196611 HRO196611 IBK196611 ILG196611 IVC196611 JEY196611 JOU196611 JYQ196611 KIM196611 KSI196611 LCE196611 LMA196611 LVW196611 MFS196611 MPO196611 MZK196611 NJG196611 NTC196611 OCY196611 OMU196611 OWQ196611 PGM196611 PQI196611 QAE196611 QKA196611 QTW196611 RDS196611 RNO196611 RXK196611 SHG196611 SRC196611 TAY196611 TKU196611 TUQ196611 UEM196611 UOI196611 UYE196611 VIA196611 VRW196611 WBS196611 WLO196611 WVK196611 C262147 IY262147 SU262147 ACQ262147 AMM262147 AWI262147 BGE262147 BQA262147 BZW262147 CJS262147 CTO262147 DDK262147 DNG262147 DXC262147 EGY262147 EQU262147 FAQ262147 FKM262147 FUI262147 GEE262147 GOA262147 GXW262147 HHS262147 HRO262147 IBK262147 ILG262147 IVC262147 JEY262147 JOU262147 JYQ262147 KIM262147 KSI262147 LCE262147 LMA262147 LVW262147 MFS262147 MPO262147 MZK262147 NJG262147 NTC262147 OCY262147 OMU262147 OWQ262147 PGM262147 PQI262147 QAE262147 QKA262147 QTW262147 RDS262147 RNO262147 RXK262147 SHG262147 SRC262147 TAY262147 TKU262147 TUQ262147 UEM262147 UOI262147 UYE262147 VIA262147 VRW262147 WBS262147 WLO262147 WVK262147 C327683 IY327683 SU327683 ACQ327683 AMM327683 AWI327683 BGE327683 BQA327683 BZW327683 CJS327683 CTO327683 DDK327683 DNG327683 DXC327683 EGY327683 EQU327683 FAQ327683 FKM327683 FUI327683 GEE327683 GOA327683 GXW327683 HHS327683 HRO327683 IBK327683 ILG327683 IVC327683 JEY327683 JOU327683 JYQ327683 KIM327683 KSI327683 LCE327683 LMA327683 LVW327683 MFS327683 MPO327683 MZK327683 NJG327683 NTC327683 OCY327683 OMU327683 OWQ327683 PGM327683 PQI327683 QAE327683 QKA327683 QTW327683 RDS327683 RNO327683 RXK327683 SHG327683 SRC327683 TAY327683 TKU327683 TUQ327683 UEM327683 UOI327683 UYE327683 VIA327683 VRW327683 WBS327683 WLO327683 WVK327683 C393219 IY393219 SU393219 ACQ393219 AMM393219 AWI393219 BGE393219 BQA393219 BZW393219 CJS393219 CTO393219 DDK393219 DNG393219 DXC393219 EGY393219 EQU393219 FAQ393219 FKM393219 FUI393219 GEE393219 GOA393219 GXW393219 HHS393219 HRO393219 IBK393219 ILG393219 IVC393219 JEY393219 JOU393219 JYQ393219 KIM393219 KSI393219 LCE393219 LMA393219 LVW393219 MFS393219 MPO393219 MZK393219 NJG393219 NTC393219 OCY393219 OMU393219 OWQ393219 PGM393219 PQI393219 QAE393219 QKA393219 QTW393219 RDS393219 RNO393219 RXK393219 SHG393219 SRC393219 TAY393219 TKU393219 TUQ393219 UEM393219 UOI393219 UYE393219 VIA393219 VRW393219 WBS393219 WLO393219 WVK393219 C458755 IY458755 SU458755 ACQ458755 AMM458755 AWI458755 BGE458755 BQA458755 BZW458755 CJS458755 CTO458755 DDK458755 DNG458755 DXC458755 EGY458755 EQU458755 FAQ458755 FKM458755 FUI458755 GEE458755 GOA458755 GXW458755 HHS458755 HRO458755 IBK458755 ILG458755 IVC458755 JEY458755 JOU458755 JYQ458755 KIM458755 KSI458755 LCE458755 LMA458755 LVW458755 MFS458755 MPO458755 MZK458755 NJG458755 NTC458755 OCY458755 OMU458755 OWQ458755 PGM458755 PQI458755 QAE458755 QKA458755 QTW458755 RDS458755 RNO458755 RXK458755 SHG458755 SRC458755 TAY458755 TKU458755 TUQ458755 UEM458755 UOI458755 UYE458755 VIA458755 VRW458755 WBS458755 WLO458755 WVK458755 C524291 IY524291 SU524291 ACQ524291 AMM524291 AWI524291 BGE524291 BQA524291 BZW524291 CJS524291 CTO524291 DDK524291 DNG524291 DXC524291 EGY524291 EQU524291 FAQ524291 FKM524291 FUI524291 GEE524291 GOA524291 GXW524291 HHS524291 HRO524291 IBK524291 ILG524291 IVC524291 JEY524291 JOU524291 JYQ524291 KIM524291 KSI524291 LCE524291 LMA524291 LVW524291 MFS524291 MPO524291 MZK524291 NJG524291 NTC524291 OCY524291 OMU524291 OWQ524291 PGM524291 PQI524291 QAE524291 QKA524291 QTW524291 RDS524291 RNO524291 RXK524291 SHG524291 SRC524291 TAY524291 TKU524291 TUQ524291 UEM524291 UOI524291 UYE524291 VIA524291 VRW524291 WBS524291 WLO524291 WVK524291 C589827 IY589827 SU589827 ACQ589827 AMM589827 AWI589827 BGE589827 BQA589827 BZW589827 CJS589827 CTO589827 DDK589827 DNG589827 DXC589827 EGY589827 EQU589827 FAQ589827 FKM589827 FUI589827 GEE589827 GOA589827 GXW589827 HHS589827 HRO589827 IBK589827 ILG589827 IVC589827 JEY589827 JOU589827 JYQ589827 KIM589827 KSI589827 LCE589827 LMA589827 LVW589827 MFS589827 MPO589827 MZK589827 NJG589827 NTC589827 OCY589827 OMU589827 OWQ589827 PGM589827 PQI589827 QAE589827 QKA589827 QTW589827 RDS589827 RNO589827 RXK589827 SHG589827 SRC589827 TAY589827 TKU589827 TUQ589827 UEM589827 UOI589827 UYE589827 VIA589827 VRW589827 WBS589827 WLO589827 WVK589827 C655363 IY655363 SU655363 ACQ655363 AMM655363 AWI655363 BGE655363 BQA655363 BZW655363 CJS655363 CTO655363 DDK655363 DNG655363 DXC655363 EGY655363 EQU655363 FAQ655363 FKM655363 FUI655363 GEE655363 GOA655363 GXW655363 HHS655363 HRO655363 IBK655363 ILG655363 IVC655363 JEY655363 JOU655363 JYQ655363 KIM655363 KSI655363 LCE655363 LMA655363 LVW655363 MFS655363 MPO655363 MZK655363 NJG655363 NTC655363 OCY655363 OMU655363 OWQ655363 PGM655363 PQI655363 QAE655363 QKA655363 QTW655363 RDS655363 RNO655363 RXK655363 SHG655363 SRC655363 TAY655363 TKU655363 TUQ655363 UEM655363 UOI655363 UYE655363 VIA655363 VRW655363 WBS655363 WLO655363 WVK655363 C720899 IY720899 SU720899 ACQ720899 AMM720899 AWI720899 BGE720899 BQA720899 BZW720899 CJS720899 CTO720899 DDK720899 DNG720899 DXC720899 EGY720899 EQU720899 FAQ720899 FKM720899 FUI720899 GEE720899 GOA720899 GXW720899 HHS720899 HRO720899 IBK720899 ILG720899 IVC720899 JEY720899 JOU720899 JYQ720899 KIM720899 KSI720899 LCE720899 LMA720899 LVW720899 MFS720899 MPO720899 MZK720899 NJG720899 NTC720899 OCY720899 OMU720899 OWQ720899 PGM720899 PQI720899 QAE720899 QKA720899 QTW720899 RDS720899 RNO720899 RXK720899 SHG720899 SRC720899 TAY720899 TKU720899 TUQ720899 UEM720899 UOI720899 UYE720899 VIA720899 VRW720899 WBS720899 WLO720899 WVK720899 C786435 IY786435 SU786435 ACQ786435 AMM786435 AWI786435 BGE786435 BQA786435 BZW786435 CJS786435 CTO786435 DDK786435 DNG786435 DXC786435 EGY786435 EQU786435 FAQ786435 FKM786435 FUI786435 GEE786435 GOA786435 GXW786435 HHS786435 HRO786435 IBK786435 ILG786435 IVC786435 JEY786435 JOU786435 JYQ786435 KIM786435 KSI786435 LCE786435 LMA786435 LVW786435 MFS786435 MPO786435 MZK786435 NJG786435 NTC786435 OCY786435 OMU786435 OWQ786435 PGM786435 PQI786435 QAE786435 QKA786435 QTW786435 RDS786435 RNO786435 RXK786435 SHG786435 SRC786435 TAY786435 TKU786435 TUQ786435 UEM786435 UOI786435 UYE786435 VIA786435 VRW786435 WBS786435 WLO786435 WVK786435 C851971 IY851971 SU851971 ACQ851971 AMM851971 AWI851971 BGE851971 BQA851971 BZW851971 CJS851971 CTO851971 DDK851971 DNG851971 DXC851971 EGY851971 EQU851971 FAQ851971 FKM851971 FUI851971 GEE851971 GOA851971 GXW851971 HHS851971 HRO851971 IBK851971 ILG851971 IVC851971 JEY851971 JOU851971 JYQ851971 KIM851971 KSI851971 LCE851971 LMA851971 LVW851971 MFS851971 MPO851971 MZK851971 NJG851971 NTC851971 OCY851971 OMU851971 OWQ851971 PGM851971 PQI851971 QAE851971 QKA851971 QTW851971 RDS851971 RNO851971 RXK851971 SHG851971 SRC851971 TAY851971 TKU851971 TUQ851971 UEM851971 UOI851971 UYE851971 VIA851971 VRW851971 WBS851971 WLO851971 WVK851971 C917507 IY917507 SU917507 ACQ917507 AMM917507 AWI917507 BGE917507 BQA917507 BZW917507 CJS917507 CTO917507 DDK917507 DNG917507 DXC917507 EGY917507 EQU917507 FAQ917507 FKM917507 FUI917507 GEE917507 GOA917507 GXW917507 HHS917507 HRO917507 IBK917507 ILG917507 IVC917507 JEY917507 JOU917507 JYQ917507 KIM917507 KSI917507 LCE917507 LMA917507 LVW917507 MFS917507 MPO917507 MZK917507 NJG917507 NTC917507 OCY917507 OMU917507 OWQ917507 PGM917507 PQI917507 QAE917507 QKA917507 QTW917507 RDS917507 RNO917507 RXK917507 SHG917507 SRC917507 TAY917507 TKU917507 TUQ917507 UEM917507 UOI917507 UYE917507 VIA917507 VRW917507 WBS917507 WLO917507 WVK917507 C983043 IY983043 SU983043 ACQ983043 AMM983043 AWI983043 BGE983043 BQA983043 BZW983043 CJS983043 CTO983043 DDK983043 DNG983043 DXC983043 EGY983043 EQU983043 FAQ983043 FKM983043 FUI983043 GEE983043 GOA983043 GXW983043 HHS983043 HRO983043 IBK983043 ILG983043 IVC983043 JEY983043 JOU983043 JYQ983043 KIM983043 KSI983043 LCE983043 LMA983043 LVW983043 MFS983043 MPO983043 MZK983043 NJG983043 NTC983043 OCY983043 OMU983043 OWQ983043 PGM983043 PQI983043 QAE983043 QKA983043 QTW983043 RDS983043 RNO983043 RXK983043 SHG983043 SRC983043 TAY983043 TKU983043 TUQ983043 UEM983043 UOI983043 UYE983043 VIA983043 VRW983043 WBS983043 WLO983043 WVK983043">
      <formula1>"Pop up header,Screen header,Pop up body text,Button,Tile,List content,Widget label - example: settings - Voice Gender (on or off),Information banner,Descriptive text - this will be explanation text,Instructive text"</formula1>
      <formula2>0</formula2>
    </dataValidation>
    <dataValidation type="list" allowBlank="1" showInputMessage="1" showErrorMessage="1" sqref="B2:B3">
      <formula1>Languages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HTML">
                <anchor moveWithCells="1" sizeWithCells="1">
                  <from>
                    <xdr:col>14</xdr:col>
                    <xdr:colOff>209550</xdr:colOff>
                    <xdr:row>4</xdr:row>
                    <xdr:rowOff>38100</xdr:rowOff>
                  </from>
                  <to>
                    <xdr:col>14</xdr:col>
                    <xdr:colOff>2295525</xdr:colOff>
                    <xdr:row>5</xdr:row>
                    <xdr:rowOff>504825</xdr:rowOff>
                  </to>
                </anchor>
              </controlPr>
            </control>
          </mc:Choice>
        </mc:AlternateContent>
        <mc:AlternateContent xmlns:mc="http://schemas.openxmlformats.org/markup-compatibility/2006">
          <mc:Choice Requires="x14">
            <control shapeId="1035" r:id="rId5" name="Button 11">
              <controlPr defaultSize="0" print="0" autoFill="0" autoPict="0" macro="[0]!MakeJSON">
                <anchor moveWithCells="1" sizeWithCells="1">
                  <from>
                    <xdr:col>14</xdr:col>
                    <xdr:colOff>247650</xdr:colOff>
                    <xdr:row>6</xdr:row>
                    <xdr:rowOff>180975</xdr:rowOff>
                  </from>
                  <to>
                    <xdr:col>14</xdr:col>
                    <xdr:colOff>2305050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503"/>
  <sheetViews>
    <sheetView workbookViewId="0">
      <selection activeCell="G2" sqref="G2"/>
    </sheetView>
  </sheetViews>
  <sheetFormatPr defaultRowHeight="15" x14ac:dyDescent="0.25"/>
  <cols>
    <col min="1" max="1" width="72.5703125" customWidth="1"/>
    <col min="2" max="2" width="22.140625" customWidth="1"/>
    <col min="8" max="8" width="9.85546875" customWidth="1"/>
    <col min="9" max="9" width="13.5703125" customWidth="1"/>
  </cols>
  <sheetData>
    <row r="1" spans="1:11" ht="106.5" customHeight="1" x14ac:dyDescent="0.25">
      <c r="A1" s="9" t="str">
        <f>CONCATENATE("&lt;!DOCTYPE html&gt;
&lt;html&gt;
&lt;head&gt;
&lt;title&gt;P-IVI Translation Testing - ",Main!B1," - ",Main!B2,"&lt;/title&gt;
&lt;link rel='stylesheet' href='./css/",HiddenWorkings!B1,"'&gt;
&lt;/head&gt;
&lt;body&gt;")</f>
        <v>&lt;!DOCTYPE html&gt;
&lt;html&gt;
&lt;head&gt;
&lt;title&gt;P-IVI Translation Testing - WEATHER - zh-Hans&lt;/title&gt;
&lt;link rel='stylesheet' href='./css/P-IVI_Apps_SimChinese.css'&gt;
&lt;/head&gt;
&lt;body&gt;</v>
      </c>
      <c r="B1" t="str">
        <f>IF(Main!B2="ar-SA","P-IVI_Apps_Arabic.css",IF(Main!B2="ja-JP","P-IVI_Apps_Japanese.css",IF(Main!B2="zh-Hant","P-IVI_Apps_TradChinese.css",IF(Main!B2="zh-Hans","P-IVI_Apps_SimChinese.css",IF(Main!B2="ko-KR","P-IVI_Apps_Korean.css","P-IVI_Apps_ROW.css")))))</f>
        <v>P-IVI_Apps_SimChinese.css</v>
      </c>
      <c r="C1" s="9"/>
      <c r="D1" t="s">
        <v>64</v>
      </c>
      <c r="H1" t="s">
        <v>30</v>
      </c>
      <c r="I1">
        <f>IF(A1&lt;&gt;"",1,"")</f>
        <v>1</v>
      </c>
      <c r="J1">
        <f>SUM(I:I)+2</f>
        <v>7</v>
      </c>
      <c r="K1">
        <f>SUM(I:I)</f>
        <v>5</v>
      </c>
    </row>
    <row r="2" spans="1:11" x14ac:dyDescent="0.25">
      <c r="A2" s="9" t="str">
        <f>CONCATENATE("&lt;h3&gt;",Main!B1," - ",Main!B2,"&lt;/h3&gt;&lt;br&gt;")</f>
        <v>&lt;h3&gt;WEATHER - zh-Hans&lt;/h3&gt;&lt;br&gt;</v>
      </c>
      <c r="D2" t="str">
        <f>IF(Main!A5&lt;&gt;"",CONCATENATE(CHAR(9),"""",Main!A5,""": """,Main!G5,""",",IF(Main!A6="",CONCATENATE(CHAR(10),"}"),"")),"")</f>
        <v xml:space="preserve">	"APP_NAME": "WEATHER",</v>
      </c>
      <c r="H2" t="s">
        <v>31</v>
      </c>
      <c r="I2">
        <f t="shared" ref="I2:I65" si="0">IF(A3&lt;&gt;"",1,"")</f>
        <v>1</v>
      </c>
    </row>
    <row r="3" spans="1:11" x14ac:dyDescent="0.25">
      <c r="A3" s="1" t="str">
        <f>IF(Main!A5&lt;&gt;"",CONCATENATE("&lt;div class='String_ID_ISSUE'&gt;&lt;b&gt;ID: ",Main!A5,"&lt;/b&gt; - &lt;i&gt;",Main!I5,"pt, tracking ",Main!J5,", ",Main!K5," line(s)&lt;/i&gt;&lt;/div&gt;&lt;div class=""",Main!N5,""" style='width:",Main!M5,"px; height:",Main!L5,"px'&gt;",Main!H5,"&lt;/div&gt;&lt;br&gt;",IF(Main!A6="","&lt;/body&gt;
&lt;/html&gt;","")),"")</f>
        <v>&lt;div class='String_ID_ISSUE'&gt;&lt;b&gt;ID: APP_NAME&lt;/b&gt; - &lt;i&gt;20pt, tracking 0, 1 line(s)&lt;/i&gt;&lt;/div&gt;&lt;div class="app_name" style='width:450px; height:25px'&gt;WEATHER&lt;/div&gt;&lt;br&gt;</v>
      </c>
      <c r="D3" t="str">
        <f>IF(Main!A6&lt;&gt;"",CONCATENATE(CHAR(9),"""",Main!A6,""": """,Main!G6,""",",IF(Main!A7="",CONCATENATE(CHAR(10),"}"),"")),"")</f>
        <v xml:space="preserve">	"weat_My_location": "MY LOCATION",</v>
      </c>
      <c r="H3" t="s">
        <v>32</v>
      </c>
      <c r="I3">
        <f t="shared" si="0"/>
        <v>1</v>
      </c>
    </row>
    <row r="4" spans="1:11" ht="17.25" customHeight="1" x14ac:dyDescent="0.25">
      <c r="A4" s="1" t="str">
        <f>IF(Main!A6&lt;&gt;"",CONCATENATE("&lt;div class='String_ID_ISSUE'&gt;&lt;b&gt;ID: ",Main!A6,"&lt;/b&gt; - &lt;i&gt;",Main!I6,"pt, tracking ",Main!J6,", ",Main!K6," line(s)&lt;/i&gt;&lt;/div&gt;&lt;div class=""",Main!N6,""" style='width:",Main!M6,"px; height:",Main!L6,"px'&gt;",Main!H6,"&lt;/div&gt;&lt;br&gt;",IF(Main!A7="","&lt;/body&gt;
&lt;/html&gt;","")),"")</f>
        <v>&lt;div class='String_ID_ISSUE'&gt;&lt;b&gt;ID: weat_My_location&lt;/b&gt; - &lt;i&gt;38pt, tracking 200, 2 line(s)&lt;/i&gt;&lt;/div&gt;&lt;div class="Size_38pt_TR_200" style='width:450px; height:95px'&gt;MY LOCATION&lt;/div&gt;&lt;br&gt;</v>
      </c>
      <c r="D4" t="str">
        <f>IF(Main!A7&lt;&gt;"",CONCATENATE(CHAR(9),"""",Main!A7,""": """,Main!G7,""",",IF(Main!A8="",CONCATENATE(CHAR(10),"}"),"")),"")</f>
        <v xml:space="preserve">	"weat_Main_Temperature": "__PARAM0__°",</v>
      </c>
      <c r="H4" t="s">
        <v>33</v>
      </c>
      <c r="I4">
        <f t="shared" si="0"/>
        <v>1</v>
      </c>
    </row>
    <row r="5" spans="1:11" x14ac:dyDescent="0.25">
      <c r="A5" s="1" t="str">
        <f>IF(Main!A7&lt;&gt;"",CONCATENATE("&lt;div class='String_ID_ISSUE'&gt;&lt;b&gt;ID: ",Main!A7,"&lt;/b&gt; - &lt;i&gt;",Main!I7,"pt, tracking ",Main!J7,", ",Main!K7," line(s)&lt;/i&gt;&lt;/div&gt;&lt;div class=""",Main!N7,""" style='width:",Main!M7,"px; height:",Main!L7,"px'&gt;",Main!H7,"&lt;/div&gt;&lt;br&gt;",IF(Main!A8="","&lt;/body&gt;
&lt;/html&gt;","")),"")</f>
        <v>&lt;div class='String_ID_ISSUE'&gt;&lt;b&gt;ID: weat_Main_Temperature&lt;/b&gt; - &lt;i&gt;200pt, tracking -50, 1 line(s)&lt;/i&gt;&lt;/div&gt;&lt;div class="Size_200pt_TR_MINUS_50" style='width:720px; height:250px'&gt;XYZ°&lt;/div&gt;&lt;br&gt;</v>
      </c>
      <c r="D5" t="str">
        <f>IF(Main!A8&lt;&gt;"",CONCATENATE(CHAR(9),"""",Main!A8,""": """,Main!G8,""",",IF(Main!A9="",CONCATENATE(CHAR(10),"}"),"")),"")</f>
        <v xml:space="preserve">	"weat_Partly_sunny": "Partly sunny",
}</v>
      </c>
      <c r="H5" t="s">
        <v>34</v>
      </c>
      <c r="I5">
        <f t="shared" si="0"/>
        <v>1</v>
      </c>
    </row>
    <row r="6" spans="1:11" x14ac:dyDescent="0.25">
      <c r="A6" s="1" t="str">
        <f>IF(Main!A8&lt;&gt;"",CONCATENATE("&lt;div class='String_ID_ISSUE'&gt;&lt;b&gt;ID: ",Main!A8,"&lt;/b&gt; - &lt;i&gt;",Main!I8,"pt, tracking ",Main!J8,", ",Main!K8," line(s)&lt;/i&gt;&lt;/div&gt;&lt;div class=""",Main!N8,""" style='width:",Main!M8,"px; height:",Main!L8,"px'&gt;",Main!H8,"&lt;/div&gt;&lt;br&gt;",IF(Main!A9="","&lt;/body&gt;
&lt;/html&gt;","")),"")</f>
        <v>&lt;div class='String_ID_ISSUE'&gt;&lt;b&gt;ID: weat_Partly_sunny&lt;/b&gt; - &lt;i&gt;38pt, tracking 50, 1 line(s)&lt;/i&gt;&lt;/div&gt;&lt;div class="Size_38pt_TR_50" style='width:450px; height:47px'&gt;Partly sunny&lt;/div&gt;&lt;br&gt;&lt;/body&gt;
&lt;/html&gt;</v>
      </c>
      <c r="D6" t="str">
        <f>IF(Main!A9&lt;&gt;"",CONCATENATE(CHAR(9),"""",Main!A9,""": """,Main!G9,""",",IF(Main!A10="",CONCATENATE(CHAR(10),"}"),"")),"")</f>
        <v/>
      </c>
      <c r="H6" t="s">
        <v>35</v>
      </c>
      <c r="I6" t="str">
        <f t="shared" si="0"/>
        <v/>
      </c>
    </row>
    <row r="7" spans="1:11" x14ac:dyDescent="0.25">
      <c r="A7" s="1" t="str">
        <f>IF(Main!A9&lt;&gt;"",CONCATENATE("&lt;div class='String_ID_ISSUE'&gt;&lt;b&gt;ID: ",Main!A9,"&lt;/b&gt; - &lt;i&gt;",Main!I9,"pt, tracking ",Main!J9,", ",Main!K9," line(s)&lt;/i&gt;&lt;/div&gt;&lt;div class=""",Main!N9,""" style='width:",Main!M9,"px; height:",Main!L9,"px'&gt;",Main!H9,"&lt;/div&gt;&lt;br&gt;",IF(Main!A10="","&lt;/body&gt;
&lt;/html&gt;","")),"")</f>
        <v/>
      </c>
      <c r="D7" t="str">
        <f>IF(Main!A10&lt;&gt;"",CONCATENATE(CHAR(9),"""",Main!A10,""": """,Main!G10,""",",IF(Main!A11="",CONCATENATE(CHAR(10),"}"),"")),"")</f>
        <v/>
      </c>
      <c r="H7" t="s">
        <v>36</v>
      </c>
      <c r="I7" t="str">
        <f t="shared" si="0"/>
        <v/>
      </c>
    </row>
    <row r="8" spans="1:11" x14ac:dyDescent="0.25">
      <c r="A8" s="1" t="str">
        <f>IF(Main!A10&lt;&gt;"",CONCATENATE("&lt;div class='String_ID_ISSUE'&gt;&lt;b&gt;ID: ",Main!A10,"&lt;/b&gt; - &lt;i&gt;",Main!I10,"pt, tracking ",Main!J10,", ",Main!K10," line(s)&lt;/i&gt;&lt;/div&gt;&lt;div class=""",Main!N10,""" style='width:",Main!M10,"px; height:",Main!L10,"px'&gt;",Main!H10,"&lt;/div&gt;&lt;br&gt;",IF(Main!A11="","&lt;/body&gt;
&lt;/html&gt;","")),"")</f>
        <v/>
      </c>
      <c r="D8" t="str">
        <f>IF(Main!A11&lt;&gt;"",CONCATENATE(CHAR(9),"""",Main!A11,""": """,Main!G11,""",",IF(Main!A12="",CONCATENATE(CHAR(10),"}"),"")),"")</f>
        <v/>
      </c>
      <c r="H8" t="s">
        <v>37</v>
      </c>
      <c r="I8" t="str">
        <f t="shared" si="0"/>
        <v/>
      </c>
    </row>
    <row r="9" spans="1:11" x14ac:dyDescent="0.25">
      <c r="A9" s="1" t="str">
        <f>IF(Main!A11&lt;&gt;"",CONCATENATE("&lt;div class='String_ID_ISSUE'&gt;&lt;b&gt;ID: ",Main!A11,"&lt;/b&gt; - &lt;i&gt;",Main!I11,"pt, tracking ",Main!J11,", ",Main!K11," line(s)&lt;/i&gt;&lt;/div&gt;&lt;div class=""",Main!N11,""" style='width:",Main!M11,"px; height:",Main!L11,"px'&gt;",Main!H11,"&lt;/div&gt;&lt;br&gt;",IF(Main!A12="","&lt;/body&gt;
&lt;/html&gt;","")),"")</f>
        <v/>
      </c>
      <c r="D9" t="str">
        <f>IF(Main!A12&lt;&gt;"",CONCATENATE(CHAR(9),"""",Main!A12,""": """,Main!G12,""",",IF(Main!A13="",CONCATENATE(CHAR(10),"}"),"")),"")</f>
        <v/>
      </c>
      <c r="H9" t="s">
        <v>38</v>
      </c>
      <c r="I9" t="str">
        <f t="shared" si="0"/>
        <v/>
      </c>
    </row>
    <row r="10" spans="1:11" x14ac:dyDescent="0.25">
      <c r="A10" s="1" t="str">
        <f>IF(Main!A12&lt;&gt;"",CONCATENATE("&lt;div class='String_ID_ISSUE'&gt;&lt;b&gt;ID: ",Main!A12,"&lt;/b&gt; - &lt;i&gt;",Main!I12,"pt, tracking ",Main!J12,", ",Main!K12," line(s)&lt;/i&gt;&lt;/div&gt;&lt;div class=""",Main!N12,""" style='width:",Main!M12,"px; height:",Main!L12,"px'&gt;",Main!H12,"&lt;/div&gt;&lt;br&gt;",IF(Main!A13="","&lt;/body&gt;
&lt;/html&gt;","")),"")</f>
        <v/>
      </c>
      <c r="D10" t="str">
        <f>IF(Main!A13&lt;&gt;"",CONCATENATE(CHAR(9),"""",Main!A13,""": """,Main!G13,""",",IF(Main!A14="",CONCATENATE(CHAR(10),"}"),"")),"")</f>
        <v/>
      </c>
      <c r="H10" t="s">
        <v>39</v>
      </c>
      <c r="I10" t="str">
        <f t="shared" si="0"/>
        <v/>
      </c>
    </row>
    <row r="11" spans="1:11" x14ac:dyDescent="0.25">
      <c r="A11" s="1" t="str">
        <f>IF(Main!A13&lt;&gt;"",CONCATENATE("&lt;div class='String_ID_ISSUE'&gt;&lt;b&gt;ID: ",Main!A13,"&lt;/b&gt; - &lt;i&gt;",Main!I13,"pt, tracking ",Main!J13,", ",Main!K13," line(s)&lt;/i&gt;&lt;/div&gt;&lt;div class=""",Main!N13,""" style='width:",Main!M13,"px; height:",Main!L13,"px'&gt;",Main!H13,"&lt;/div&gt;&lt;br&gt;",IF(Main!A14="","&lt;/body&gt;
&lt;/html&gt;","")),"")</f>
        <v/>
      </c>
      <c r="D11" t="str">
        <f>IF(Main!A14&lt;&gt;"",CONCATENATE(CHAR(9),"""",Main!A14,""": """,Main!G14,""",",IF(Main!A15="",CONCATENATE(CHAR(10),"}"),"")),"")</f>
        <v/>
      </c>
      <c r="H11" t="s">
        <v>40</v>
      </c>
      <c r="I11" t="str">
        <f t="shared" si="0"/>
        <v/>
      </c>
    </row>
    <row r="12" spans="1:11" x14ac:dyDescent="0.25">
      <c r="A12" s="1" t="str">
        <f>IF(Main!A14&lt;&gt;"",CONCATENATE("&lt;div class='String_ID_ISSUE'&gt;&lt;b&gt;ID: ",Main!A14,"&lt;/b&gt; - &lt;i&gt;",Main!I14,"pt, tracking ",Main!J14,", ",Main!K14," line(s)&lt;/i&gt;&lt;/div&gt;&lt;div class=""",Main!N14,""" style='width:",Main!M14,"px; height:",Main!L14,"px'&gt;",Main!H14,"&lt;/div&gt;&lt;br&gt;",IF(Main!A15="","&lt;/body&gt;
&lt;/html&gt;","")),"")</f>
        <v/>
      </c>
      <c r="D12" t="str">
        <f>IF(Main!A15&lt;&gt;"",CONCATENATE(CHAR(9),"""",Main!A15,""": """,Main!G15,""",",IF(Main!A16="",CONCATENATE(CHAR(10),"}"),"")),"")</f>
        <v/>
      </c>
      <c r="H12" t="s">
        <v>41</v>
      </c>
      <c r="I12" t="str">
        <f t="shared" si="0"/>
        <v/>
      </c>
    </row>
    <row r="13" spans="1:11" x14ac:dyDescent="0.25">
      <c r="A13" s="1" t="str">
        <f>IF(Main!A15&lt;&gt;"",CONCATENATE("&lt;div class='String_ID_ISSUE'&gt;&lt;b&gt;ID: ",Main!A15,"&lt;/b&gt; - &lt;i&gt;",Main!I15,"pt, tracking ",Main!J15,", ",Main!K15," line(s)&lt;/i&gt;&lt;/div&gt;&lt;div class=""",Main!N15,""" style='width:",Main!M15,"px; height:",Main!L15,"px'&gt;",Main!H15,"&lt;/div&gt;&lt;br&gt;",IF(Main!A16="","&lt;/body&gt;
&lt;/html&gt;","")),"")</f>
        <v/>
      </c>
      <c r="D13" t="str">
        <f>IF(Main!A16&lt;&gt;"",CONCATENATE(CHAR(9),"""",Main!A16,""": """,Main!G16,""","),IF(Main!A17="",CONCATENATE(CHAR(10),"}"),""))</f>
        <v xml:space="preserve">
}</v>
      </c>
      <c r="H13" t="s">
        <v>42</v>
      </c>
      <c r="I13" t="str">
        <f t="shared" si="0"/>
        <v/>
      </c>
    </row>
    <row r="14" spans="1:11" x14ac:dyDescent="0.25">
      <c r="A14" s="1" t="str">
        <f>IF(Main!A16&lt;&gt;"",CONCATENATE("&lt;div class='String_ID_ISSUE'&gt;&lt;b&gt;ID: ",Main!A16,"&lt;/b&gt; - &lt;i&gt;",Main!I16,"pt, tracking ",Main!J16,", ",Main!K16," line(s)&lt;/i&gt;&lt;/div&gt;&lt;div class=""",Main!N16,""" style='width:",Main!M16,"px; height:",Main!L16,"px'&gt;",Main!H16,"&lt;/div&gt;&lt;br&gt;",IF(Main!A17="","&lt;/body&gt;
&lt;/html&gt;","")),"")</f>
        <v/>
      </c>
      <c r="D14" t="str">
        <f>IF(Main!A17&lt;&gt;"",CONCATENATE(CHAR(9),"""",Main!A17,""": """,Main!G17,""","),IF(Main!A18="",CONCATENATE(CHAR(10),"}"),""))</f>
        <v xml:space="preserve">
}</v>
      </c>
      <c r="H14" t="s">
        <v>43</v>
      </c>
      <c r="I14" t="str">
        <f t="shared" si="0"/>
        <v/>
      </c>
    </row>
    <row r="15" spans="1:11" x14ac:dyDescent="0.25">
      <c r="A15" s="1" t="str">
        <f>IF(Main!A17&lt;&gt;"",CONCATENATE("&lt;div class='String_ID_ISSUE'&gt;&lt;b&gt;ID: ",Main!A17,"&lt;/b&gt; - &lt;i&gt;",Main!I17,"pt, tracking ",Main!J17,", ",Main!K17," line(s)&lt;/i&gt;&lt;/div&gt;&lt;div class=""",Main!N17,""" style='width:",Main!M17,"px; height:",Main!L17,"px'&gt;",Main!H17,"&lt;/div&gt;&lt;br&gt;",IF(Main!A18="","&lt;/body&gt;
&lt;/html&gt;","")),"")</f>
        <v/>
      </c>
      <c r="D15" t="str">
        <f>IF(Main!A18&lt;&gt;"",CONCATENATE(CHAR(9),"""",Main!A18,""": """,Main!G18,""","),IF(Main!A19="",CONCATENATE(CHAR(10),"}"),""))</f>
        <v xml:space="preserve">
}</v>
      </c>
      <c r="H15" t="s">
        <v>44</v>
      </c>
      <c r="I15" t="str">
        <f t="shared" si="0"/>
        <v/>
      </c>
    </row>
    <row r="16" spans="1:11" x14ac:dyDescent="0.25">
      <c r="A16" s="1" t="str">
        <f>IF(Main!A18&lt;&gt;"",CONCATENATE("&lt;div class='String_ID_ISSUE'&gt;&lt;b&gt;ID: ",Main!A18,"&lt;/b&gt; - &lt;i&gt;",Main!I18,"pt, tracking ",Main!J18,", ",Main!K18," line(s)&lt;/i&gt;&lt;/div&gt;&lt;div class=""",Main!N18,""" style='width:",Main!M18,"px; height:",Main!L18,"px'&gt;",Main!H18,"&lt;/div&gt;&lt;br&gt;",IF(Main!A19="","&lt;/body&gt;
&lt;/html&gt;","")),"")</f>
        <v/>
      </c>
      <c r="D16" t="str">
        <f>IF(Main!A19&lt;&gt;"",CONCATENATE(CHAR(9),"""",Main!A19,""": """,Main!G19,""","),IF(Main!A20="",CONCATENATE(CHAR(10),"}"),""))</f>
        <v xml:space="preserve">
}</v>
      </c>
      <c r="H16" t="s">
        <v>45</v>
      </c>
      <c r="I16" t="str">
        <f t="shared" si="0"/>
        <v/>
      </c>
    </row>
    <row r="17" spans="1:9" x14ac:dyDescent="0.25">
      <c r="A17" s="1" t="str">
        <f>IF(Main!A19&lt;&gt;"",CONCATENATE("&lt;div class='String_ID_ISSUE'&gt;&lt;b&gt;ID: ",Main!A19,"&lt;/b&gt; - &lt;i&gt;",Main!I19,"pt, tracking ",Main!J19,", ",Main!K19," line(s)&lt;/i&gt;&lt;/div&gt;&lt;div class=""",Main!N19,""" style='width:",Main!M19,"px; height:",Main!L19,"px'&gt;",Main!H19,"&lt;/div&gt;&lt;br&gt;",IF(Main!A20="","&lt;/body&gt;
&lt;/html&gt;","")),"")</f>
        <v/>
      </c>
      <c r="D17" t="str">
        <f>IF(Main!A20&lt;&gt;"",CONCATENATE(CHAR(9),"""",Main!A20,""": """,Main!G20,""","),IF(Main!A21="",CONCATENATE(CHAR(10),"}"),""))</f>
        <v xml:space="preserve">
}</v>
      </c>
      <c r="H17" t="s">
        <v>46</v>
      </c>
      <c r="I17" t="str">
        <f t="shared" si="0"/>
        <v/>
      </c>
    </row>
    <row r="18" spans="1:9" x14ac:dyDescent="0.25">
      <c r="A18" s="1" t="str">
        <f>IF(Main!A20&lt;&gt;"",CONCATENATE("&lt;div class='String_ID_ISSUE'&gt;&lt;b&gt;ID: ",Main!A20,"&lt;/b&gt; - &lt;i&gt;",Main!I20,"pt, tracking ",Main!J20,", ",Main!K20," line(s)&lt;/i&gt;&lt;/div&gt;&lt;div class=""",Main!N20,""" style='width:",Main!M20,"px; height:",Main!L20,"px'&gt;",Main!H20,"&lt;/div&gt;&lt;br&gt;",IF(Main!A21="","&lt;/body&gt;
&lt;/html&gt;","")),"")</f>
        <v/>
      </c>
      <c r="D18" t="str">
        <f>IF(Main!A21&lt;&gt;"",CONCATENATE(CHAR(9),"""",Main!A21,""": """,Main!G21,""","),IF(Main!A22="",CONCATENATE(CHAR(10),"}"),""))</f>
        <v xml:space="preserve">
}</v>
      </c>
      <c r="H18" t="s">
        <v>47</v>
      </c>
      <c r="I18" t="str">
        <f t="shared" si="0"/>
        <v/>
      </c>
    </row>
    <row r="19" spans="1:9" x14ac:dyDescent="0.25">
      <c r="A19" s="1" t="str">
        <f>IF(Main!A21&lt;&gt;"",CONCATENATE("&lt;div class='String_ID_ISSUE'&gt;&lt;b&gt;ID: ",Main!A21,"&lt;/b&gt; - &lt;i&gt;",Main!I21,"pt, tracking ",Main!J21,", ",Main!K21," line(s)&lt;/i&gt;&lt;/div&gt;&lt;div class=""",Main!N21,""" style='width:",Main!M21,"px; height:",Main!L21,"px'&gt;",Main!H21,"&lt;/div&gt;&lt;br&gt;",IF(Main!A22="","&lt;/body&gt;
&lt;/html&gt;","")),"")</f>
        <v/>
      </c>
      <c r="D19" t="str">
        <f>IF(Main!A22&lt;&gt;"",CONCATENATE(CHAR(9),"""",Main!A22,""": """,Main!G22,""","),IF(Main!A23="",CONCATENATE(CHAR(10),"}"),""))</f>
        <v xml:space="preserve">
}</v>
      </c>
      <c r="H19" t="s">
        <v>48</v>
      </c>
      <c r="I19" t="str">
        <f t="shared" si="0"/>
        <v/>
      </c>
    </row>
    <row r="20" spans="1:9" x14ac:dyDescent="0.25">
      <c r="A20" s="1" t="str">
        <f>IF(Main!A22&lt;&gt;"",CONCATENATE("&lt;div class='String_ID_ISSUE'&gt;&lt;b&gt;ID: ",Main!A22,"&lt;/b&gt; - &lt;i&gt;",Main!I22,"pt, tracking ",Main!J22,", ",Main!K22," line(s)&lt;/i&gt;&lt;/div&gt;&lt;div class=""",Main!N22,""" style='width:",Main!M22,"px; height:",Main!L22,"px'&gt;",Main!H22,"&lt;/div&gt;&lt;br&gt;",IF(Main!A23="","&lt;/body&gt;
&lt;/html&gt;","")),"")</f>
        <v/>
      </c>
      <c r="D20" t="str">
        <f>IF(Main!A23&lt;&gt;"",CONCATENATE(CHAR(9),"""",Main!A23,""": """,Main!G23,""","),IF(Main!A24="",CONCATENATE(CHAR(10),"}"),""))</f>
        <v xml:space="preserve">
}</v>
      </c>
      <c r="H20" t="s">
        <v>49</v>
      </c>
      <c r="I20" t="str">
        <f t="shared" si="0"/>
        <v/>
      </c>
    </row>
    <row r="21" spans="1:9" x14ac:dyDescent="0.25">
      <c r="A21" s="1" t="str">
        <f>IF(Main!A23&lt;&gt;"",CONCATENATE("&lt;div class='String_ID_ISSUE'&gt;&lt;b&gt;ID: ",Main!A23,"&lt;/b&gt; - &lt;i&gt;",Main!I23,"pt, tracking ",Main!J23,", ",Main!K23," line(s)&lt;/i&gt;&lt;/div&gt;&lt;div class=""",Main!N23,""" style='width:",Main!M23,"px; height:",Main!L23,"px'&gt;",Main!H23,"&lt;/div&gt;&lt;br&gt;",IF(Main!A24="","&lt;/body&gt;
&lt;/html&gt;","")),"")</f>
        <v/>
      </c>
      <c r="D21" t="str">
        <f>IF(Main!A24&lt;&gt;"",CONCATENATE(CHAR(9),"""",Main!A24,""": """,Main!G24,""","),IF(Main!A25="",CONCATENATE(CHAR(10),"}"),""))</f>
        <v xml:space="preserve">
}</v>
      </c>
      <c r="H21" t="s">
        <v>50</v>
      </c>
      <c r="I21" t="str">
        <f t="shared" si="0"/>
        <v/>
      </c>
    </row>
    <row r="22" spans="1:9" x14ac:dyDescent="0.25">
      <c r="A22" s="1" t="str">
        <f>IF(Main!A24&lt;&gt;"",CONCATENATE("&lt;div class='String_ID_ISSUE'&gt;&lt;b&gt;ID: ",Main!A24,"&lt;/b&gt; - &lt;i&gt;",Main!I24,"pt, tracking ",Main!J24,", ",Main!K24," line(s)&lt;/i&gt;&lt;/div&gt;&lt;div class=""",Main!N24,""" style='width:",Main!M24,"px; height:",Main!L24,"px'&gt;",Main!H24,"&lt;/div&gt;&lt;br&gt;",IF(Main!A25="","&lt;/body&gt;
&lt;/html&gt;","")),"")</f>
        <v/>
      </c>
      <c r="D22" t="str">
        <f>IF(Main!A25&lt;&gt;"",CONCATENATE(CHAR(9),"""",Main!A25,""": """,Main!G25,""","),IF(Main!A26="",CONCATENATE(CHAR(10),"}"),""))</f>
        <v xml:space="preserve">
}</v>
      </c>
      <c r="H22" t="s">
        <v>51</v>
      </c>
      <c r="I22" t="str">
        <f t="shared" si="0"/>
        <v/>
      </c>
    </row>
    <row r="23" spans="1:9" x14ac:dyDescent="0.25">
      <c r="A23" s="1" t="str">
        <f>IF(Main!A25&lt;&gt;"",CONCATENATE("&lt;div class='String_ID_ISSUE'&gt;&lt;b&gt;ID: ",Main!A25,"&lt;/b&gt; - &lt;i&gt;",Main!I25,"pt, tracking ",Main!J25,", ",Main!K25," line(s)&lt;/i&gt;&lt;/div&gt;&lt;div class=""",Main!N25,""" style='width:",Main!M25,"px; height:",Main!L25,"px'&gt;",Main!H25,"&lt;/div&gt;&lt;br&gt;",IF(Main!A26="","&lt;/body&gt;
&lt;/html&gt;","")),"")</f>
        <v/>
      </c>
      <c r="D23" t="str">
        <f>IF(Main!A26&lt;&gt;"",CONCATENATE(CHAR(9),"""",Main!A26,""": """,Main!G26,""","),IF(Main!A27="",CONCATENATE(CHAR(10),"}"),""))</f>
        <v xml:space="preserve">
}</v>
      </c>
      <c r="H23" t="s">
        <v>52</v>
      </c>
      <c r="I23" t="str">
        <f t="shared" si="0"/>
        <v/>
      </c>
    </row>
    <row r="24" spans="1:9" x14ac:dyDescent="0.25">
      <c r="A24" s="1" t="str">
        <f>IF(Main!A26&lt;&gt;"",CONCATENATE("&lt;div class='String_ID_ISSUE'&gt;&lt;b&gt;ID: ",Main!A26,"&lt;/b&gt; - &lt;i&gt;",Main!I26,"pt, tracking ",Main!J26,", ",Main!K26," line(s)&lt;/i&gt;&lt;/div&gt;&lt;div class=""",Main!N26,""" style='width:",Main!M26,"px; height:",Main!L26,"px'&gt;",Main!H26,"&lt;/div&gt;&lt;br&gt;",IF(Main!A27="","&lt;/body&gt;
&lt;/html&gt;","")),"")</f>
        <v/>
      </c>
      <c r="D24" t="str">
        <f>IF(Main!A27&lt;&gt;"",CONCATENATE(CHAR(9),"""",Main!A27,""": """,Main!G27,""","),IF(Main!A28="",CONCATENATE(CHAR(10),"}"),""))</f>
        <v xml:space="preserve">
}</v>
      </c>
      <c r="H24" t="s">
        <v>53</v>
      </c>
      <c r="I24" t="str">
        <f t="shared" si="0"/>
        <v/>
      </c>
    </row>
    <row r="25" spans="1:9" x14ac:dyDescent="0.25">
      <c r="A25" s="1" t="str">
        <f>IF(Main!A27&lt;&gt;"",CONCATENATE("&lt;div class='String_ID_ISSUE'&gt;&lt;b&gt;ID: ",Main!A27,"&lt;/b&gt; - &lt;i&gt;",Main!I27,"pt, tracking ",Main!J27,", ",Main!K27," line(s)&lt;/i&gt;&lt;/div&gt;&lt;div class=""",Main!N27,""" style='width:",Main!M27,"px; height:",Main!L27,"px'&gt;",Main!H27,"&lt;/div&gt;&lt;br&gt;",IF(Main!A28="","&lt;/body&gt;
&lt;/html&gt;","")),"")</f>
        <v/>
      </c>
      <c r="D25" t="str">
        <f>IF(Main!A28&lt;&gt;"",CONCATENATE(CHAR(9),"""",Main!A28,""": """,Main!G28,""","),IF(Main!A29="",CONCATENATE(CHAR(10),"}"),""))</f>
        <v xml:space="preserve">
}</v>
      </c>
      <c r="H25" t="s">
        <v>54</v>
      </c>
      <c r="I25" t="str">
        <f t="shared" si="0"/>
        <v/>
      </c>
    </row>
    <row r="26" spans="1:9" x14ac:dyDescent="0.25">
      <c r="A26" s="1" t="str">
        <f>IF(Main!A28&lt;&gt;"",CONCATENATE("&lt;div class='String_ID_ISSUE'&gt;&lt;b&gt;ID: ",Main!A28,"&lt;/b&gt; - &lt;i&gt;",Main!I28,"pt, tracking ",Main!J28,", ",Main!K28," line(s)&lt;/i&gt;&lt;/div&gt;&lt;div class=""",Main!N28,""" style='width:",Main!M28,"px; height:",Main!L28,"px'&gt;",Main!H28,"&lt;/div&gt;&lt;br&gt;",IF(Main!A29="","&lt;/body&gt;
&lt;/html&gt;","")),"")</f>
        <v/>
      </c>
      <c r="D26" t="str">
        <f>IF(Main!A29&lt;&gt;"",CONCATENATE(CHAR(9),"""",Main!A29,""": """,Main!G29,""","),IF(Main!A30="",CONCATENATE(CHAR(10),"}"),""))</f>
        <v xml:space="preserve">
}</v>
      </c>
      <c r="H26" t="s">
        <v>55</v>
      </c>
      <c r="I26" t="str">
        <f t="shared" si="0"/>
        <v/>
      </c>
    </row>
    <row r="27" spans="1:9" x14ac:dyDescent="0.25">
      <c r="A27" s="1" t="str">
        <f>IF(Main!A29&lt;&gt;"",CONCATENATE("&lt;div class='String_ID_ISSUE'&gt;&lt;b&gt;ID: ",Main!A29,"&lt;/b&gt; - &lt;i&gt;",Main!I29,"pt, tracking ",Main!J29,", ",Main!K29," line(s)&lt;/i&gt;&lt;/div&gt;&lt;div class=""",Main!N29,""" style='width:",Main!M29,"px; height:",Main!L29,"px'&gt;",Main!H29,"&lt;/div&gt;&lt;br&gt;",IF(Main!A30="","&lt;/body&gt;
&lt;/html&gt;","")),"")</f>
        <v/>
      </c>
      <c r="D27" t="str">
        <f>IF(Main!A30&lt;&gt;"",CONCATENATE(CHAR(9),"""",Main!A30,""": """,Main!G30,""","),IF(Main!A31="",CONCATENATE(CHAR(10),"}"),""))</f>
        <v xml:space="preserve">
}</v>
      </c>
      <c r="H27" t="s">
        <v>56</v>
      </c>
      <c r="I27" t="str">
        <f t="shared" si="0"/>
        <v/>
      </c>
    </row>
    <row r="28" spans="1:9" x14ac:dyDescent="0.25">
      <c r="A28" s="1" t="str">
        <f>IF(Main!A30&lt;&gt;"",CONCATENATE("&lt;div class='String_ID_ISSUE'&gt;&lt;b&gt;ID: ",Main!A30,"&lt;/b&gt; - &lt;i&gt;",Main!I30,"pt, tracking ",Main!J30,", ",Main!K30," line(s)&lt;/i&gt;&lt;/div&gt;&lt;div class=""",Main!N30,""" style='width:",Main!M30,"px; height:",Main!L30,"px'&gt;",Main!H30,"&lt;/div&gt;&lt;br&gt;",IF(Main!A31="","&lt;/body&gt;
&lt;/html&gt;","")),"")</f>
        <v/>
      </c>
      <c r="D28" t="str">
        <f>IF(Main!A31&lt;&gt;"",CONCATENATE(CHAR(9),"""",Main!A31,""": """,Main!G31,""","),IF(Main!A32="",CONCATENATE(CHAR(10),"}"),""))</f>
        <v xml:space="preserve">
}</v>
      </c>
      <c r="H28" t="s">
        <v>57</v>
      </c>
      <c r="I28" t="str">
        <f t="shared" si="0"/>
        <v/>
      </c>
    </row>
    <row r="29" spans="1:9" x14ac:dyDescent="0.25">
      <c r="A29" s="1" t="str">
        <f>IF(Main!A31&lt;&gt;"",CONCATENATE("&lt;div class='String_ID_ISSUE'&gt;&lt;b&gt;ID: ",Main!A31,"&lt;/b&gt; - &lt;i&gt;",Main!I31,"pt, tracking ",Main!J31,", ",Main!K31," line(s)&lt;/i&gt;&lt;/div&gt;&lt;div class=""",Main!N31,""" style='width:",Main!M31,"px; height:",Main!L31,"px'&gt;",Main!H31,"&lt;/div&gt;&lt;br&gt;",IF(Main!A32="","&lt;/body&gt;
&lt;/html&gt;","")),"")</f>
        <v/>
      </c>
      <c r="D29" t="str">
        <f>IF(Main!A32&lt;&gt;"",CONCATENATE(CHAR(9),"""",Main!A32,""": """,Main!G32,""","),IF(Main!A33="",CONCATENATE(CHAR(10),"}"),""))</f>
        <v xml:space="preserve">
}</v>
      </c>
      <c r="H29" t="s">
        <v>58</v>
      </c>
      <c r="I29" t="str">
        <f t="shared" si="0"/>
        <v/>
      </c>
    </row>
    <row r="30" spans="1:9" x14ac:dyDescent="0.25">
      <c r="A30" s="1" t="str">
        <f>IF(Main!A32&lt;&gt;"",CONCATENATE("&lt;div class='String_ID_ISSUE'&gt;&lt;b&gt;ID: ",Main!A32,"&lt;/b&gt; - &lt;i&gt;",Main!I32,"pt, tracking ",Main!J32,", ",Main!K32," line(s)&lt;/i&gt;&lt;/div&gt;&lt;div class=""",Main!N32,""" style='width:",Main!M32,"px; height:",Main!L32,"px'&gt;",Main!H32,"&lt;/div&gt;&lt;br&gt;",IF(Main!A33="","&lt;/body&gt;
&lt;/html&gt;","")),"")</f>
        <v/>
      </c>
      <c r="D30" t="str">
        <f>IF(Main!A33&lt;&gt;"",CONCATENATE(CHAR(9),"""",Main!A33,""": """,Main!G33,""","),IF(Main!A34="",CONCATENATE(CHAR(10),"}"),""))</f>
        <v xml:space="preserve">
}</v>
      </c>
      <c r="H30" t="s">
        <v>59</v>
      </c>
      <c r="I30" t="str">
        <f t="shared" si="0"/>
        <v/>
      </c>
    </row>
    <row r="31" spans="1:9" x14ac:dyDescent="0.25">
      <c r="A31" s="1" t="str">
        <f>IF(Main!A33&lt;&gt;"",CONCATENATE("&lt;div class='String_ID_ISSUE'&gt;&lt;b&gt;ID: ",Main!A33,"&lt;/b&gt; - &lt;i&gt;",Main!I33,"pt, tracking ",Main!J33,", ",Main!K33," line(s)&lt;/i&gt;&lt;/div&gt;&lt;div class=""",Main!N33,""" style='width:",Main!M33,"px; height:",Main!L33,"px'&gt;",Main!H33,"&lt;/div&gt;&lt;br&gt;",IF(Main!A34="","&lt;/body&gt;
&lt;/html&gt;","")),"")</f>
        <v/>
      </c>
      <c r="D31" t="str">
        <f>IF(Main!A34&lt;&gt;"",CONCATENATE(CHAR(9),"""",Main!A34,""": """,Main!G34,""","),IF(Main!A35="",CONCATENATE(CHAR(10),"}"),""))</f>
        <v xml:space="preserve">
}</v>
      </c>
      <c r="H31" t="s">
        <v>60</v>
      </c>
      <c r="I31" t="str">
        <f t="shared" si="0"/>
        <v/>
      </c>
    </row>
    <row r="32" spans="1:9" x14ac:dyDescent="0.25">
      <c r="A32" s="1" t="str">
        <f>IF(Main!A34&lt;&gt;"",CONCATENATE("&lt;div class='String_ID_ISSUE'&gt;&lt;b&gt;ID: ",Main!A34,"&lt;/b&gt; - &lt;i&gt;",Main!I34,"pt, tracking ",Main!J34,", ",Main!K34," line(s)&lt;/i&gt;&lt;/div&gt;&lt;div class=""",Main!N34,""" style='width:",Main!M34,"px; height:",Main!L34,"px'&gt;",Main!H34,"&lt;/div&gt;&lt;br&gt;",IF(Main!A35="","&lt;/body&gt;
&lt;/html&gt;","")),"")</f>
        <v/>
      </c>
      <c r="I32" t="str">
        <f t="shared" si="0"/>
        <v/>
      </c>
    </row>
    <row r="33" spans="1:9" x14ac:dyDescent="0.25">
      <c r="A33" s="1" t="str">
        <f>IF(Main!A35&lt;&gt;"",CONCATENATE("&lt;div class='String_ID_ISSUE'&gt;&lt;b&gt;ID: ",Main!A35,"&lt;/b&gt; - &lt;i&gt;",Main!I35,"pt, tracking ",Main!J35,", ",Main!K35," line(s)&lt;/i&gt;&lt;/div&gt;&lt;div class=""",Main!N35,""" style='width:",Main!M35,"px; height:",Main!L35,"px'&gt;",Main!H35,"&lt;/div&gt;&lt;br&gt;",IF(Main!A36="","&lt;/body&gt;
&lt;/html&gt;","")),"")</f>
        <v/>
      </c>
      <c r="I33" t="str">
        <f t="shared" si="0"/>
        <v/>
      </c>
    </row>
    <row r="34" spans="1:9" x14ac:dyDescent="0.25">
      <c r="A34" s="1" t="str">
        <f>IF(Main!A36&lt;&gt;"",CONCATENATE("&lt;div class='String_ID_ISSUE'&gt;&lt;b&gt;ID: ",Main!A36,"&lt;/b&gt; - &lt;i&gt;",Main!I36,"pt, tracking ",Main!J36,", ",Main!K36," line(s)&lt;/i&gt;&lt;/div&gt;&lt;div class=""",Main!N36,""" style='width:",Main!M36,"px; height:",Main!L36,"px'&gt;",Main!H36,"&lt;/div&gt;&lt;br&gt;",IF(Main!A37="","&lt;/body&gt;
&lt;/html&gt;","")),"")</f>
        <v/>
      </c>
      <c r="I34" t="str">
        <f t="shared" si="0"/>
        <v/>
      </c>
    </row>
    <row r="35" spans="1:9" x14ac:dyDescent="0.25">
      <c r="A35" s="1" t="str">
        <f>IF(Main!A37&lt;&gt;"",CONCATENATE("&lt;div class='String_ID_ISSUE'&gt;&lt;b&gt;ID: ",Main!A37,"&lt;/b&gt; - &lt;i&gt;",Main!I37,"pt, tracking ",Main!J37,", ",Main!K37," line(s)&lt;/i&gt;&lt;/div&gt;&lt;div class=""",Main!N37,""" style='width:",Main!M37,"px; height:",Main!L37,"px'&gt;",Main!H37,"&lt;/div&gt;&lt;br&gt;",IF(Main!A38="","&lt;/body&gt;
&lt;/html&gt;","")),"")</f>
        <v/>
      </c>
      <c r="I35" t="str">
        <f t="shared" si="0"/>
        <v/>
      </c>
    </row>
    <row r="36" spans="1:9" x14ac:dyDescent="0.25">
      <c r="A36" s="1" t="str">
        <f>IF(Main!A38&lt;&gt;"",CONCATENATE("&lt;div class='String_ID_ISSUE'&gt;&lt;b&gt;ID: ",Main!A38,"&lt;/b&gt; - &lt;i&gt;",Main!I38,"pt, tracking ",Main!J38,", ",Main!K38," line(s)&lt;/i&gt;&lt;/div&gt;&lt;div class=""",Main!N38,""" style='width:",Main!M38,"px; height:",Main!L38,"px'&gt;",Main!H38,"&lt;/div&gt;&lt;br&gt;",IF(Main!A39="","&lt;/body&gt;
&lt;/html&gt;","")),"")</f>
        <v/>
      </c>
      <c r="I36" t="str">
        <f t="shared" si="0"/>
        <v/>
      </c>
    </row>
    <row r="37" spans="1:9" x14ac:dyDescent="0.25">
      <c r="A37" s="1" t="str">
        <f>IF(Main!A39&lt;&gt;"",CONCATENATE("&lt;div class='String_ID_ISSUE'&gt;&lt;b&gt;ID: ",Main!A39,"&lt;/b&gt; - &lt;i&gt;",Main!I39,"pt, tracking ",Main!J39,", ",Main!K39," line(s)&lt;/i&gt;&lt;/div&gt;&lt;div class=""",Main!N39,""" style='width:",Main!M39,"px; height:",Main!L39,"px'&gt;",Main!H39,"&lt;/div&gt;&lt;br&gt;",IF(Main!A40="","&lt;/body&gt;
&lt;/html&gt;","")),"")</f>
        <v/>
      </c>
      <c r="I37" t="str">
        <f t="shared" si="0"/>
        <v/>
      </c>
    </row>
    <row r="38" spans="1:9" x14ac:dyDescent="0.25">
      <c r="A38" s="1" t="str">
        <f>IF(Main!A40&lt;&gt;"",CONCATENATE("&lt;div class='String_ID_ISSUE'&gt;&lt;b&gt;ID: ",Main!A40,"&lt;/b&gt; - &lt;i&gt;",Main!I40,"pt, tracking ",Main!J40,", ",Main!K40," line(s)&lt;/i&gt;&lt;/div&gt;&lt;div class=""",Main!N40,""" style='width:",Main!M40,"px; height:",Main!L40,"px'&gt;",Main!H40,"&lt;/div&gt;&lt;br&gt;",IF(Main!A41="","&lt;/body&gt;
&lt;/html&gt;","")),"")</f>
        <v/>
      </c>
      <c r="I38" t="str">
        <f t="shared" si="0"/>
        <v/>
      </c>
    </row>
    <row r="39" spans="1:9" x14ac:dyDescent="0.25">
      <c r="A39" s="1" t="str">
        <f>IF(Main!A41&lt;&gt;"",CONCATENATE("&lt;div class='String_ID_ISSUE'&gt;&lt;b&gt;ID: ",Main!A41,"&lt;/b&gt; - &lt;i&gt;",Main!I41,"pt, tracking ",Main!J41,", ",Main!K41," line(s)&lt;/i&gt;&lt;/div&gt;&lt;div class=""",Main!N41,""" style='width:",Main!M41,"px; height:",Main!L41,"px'&gt;",Main!H41,"&lt;/div&gt;&lt;br&gt;",IF(Main!A42="","&lt;/body&gt;
&lt;/html&gt;","")),"")</f>
        <v/>
      </c>
      <c r="I39" t="str">
        <f t="shared" si="0"/>
        <v/>
      </c>
    </row>
    <row r="40" spans="1:9" x14ac:dyDescent="0.25">
      <c r="A40" s="1" t="str">
        <f>IF(Main!A42&lt;&gt;"",CONCATENATE("&lt;div class='String_ID_ISSUE'&gt;&lt;b&gt;ID: ",Main!A42,"&lt;/b&gt; - &lt;i&gt;",Main!I42,"pt, tracking ",Main!J42,", ",Main!K42," line(s)&lt;/i&gt;&lt;/div&gt;&lt;div class=""",Main!N42,""" style='width:",Main!M42,"px; height:",Main!L42,"px'&gt;",Main!H42,"&lt;/div&gt;&lt;br&gt;",IF(Main!A43="","&lt;/body&gt;
&lt;/html&gt;","")),"")</f>
        <v/>
      </c>
      <c r="I40" t="str">
        <f t="shared" si="0"/>
        <v/>
      </c>
    </row>
    <row r="41" spans="1:9" x14ac:dyDescent="0.25">
      <c r="A41" s="1" t="str">
        <f>IF(Main!A43&lt;&gt;"",CONCATENATE("&lt;div class='String_ID_ISSUE'&gt;&lt;b&gt;ID: ",Main!A43,"&lt;/b&gt; - &lt;i&gt;",Main!I43,"pt, tracking ",Main!J43,", ",Main!K43," line(s)&lt;/i&gt;&lt;/div&gt;&lt;div class=""",Main!N43,""" style='width:",Main!M43,"px; height:",Main!L43,"px'&gt;",Main!H43,"&lt;/div&gt;&lt;br&gt;",IF(Main!A44="","&lt;/body&gt;
&lt;/html&gt;","")),"")</f>
        <v/>
      </c>
      <c r="I41" t="str">
        <f t="shared" si="0"/>
        <v/>
      </c>
    </row>
    <row r="42" spans="1:9" x14ac:dyDescent="0.25">
      <c r="A42" s="1" t="str">
        <f>IF(Main!A44&lt;&gt;"",CONCATENATE("&lt;div class='String_ID_ISSUE'&gt;&lt;b&gt;ID: ",Main!A44,"&lt;/b&gt; - &lt;i&gt;",Main!I44,"pt, tracking ",Main!J44,", ",Main!K44," line(s)&lt;/i&gt;&lt;/div&gt;&lt;div class=""",Main!N44,""" style='width:",Main!M44,"px; height:",Main!L44,"px'&gt;",Main!H44,"&lt;/div&gt;&lt;br&gt;",IF(Main!A45="","&lt;/body&gt;
&lt;/html&gt;","")),"")</f>
        <v/>
      </c>
      <c r="I42" t="str">
        <f t="shared" si="0"/>
        <v/>
      </c>
    </row>
    <row r="43" spans="1:9" x14ac:dyDescent="0.25">
      <c r="A43" s="1" t="str">
        <f>IF(Main!A45&lt;&gt;"",CONCATENATE("&lt;div class='String_ID_ISSUE'&gt;&lt;b&gt;ID: ",Main!A45,"&lt;/b&gt; - &lt;i&gt;",Main!I45,"pt, tracking ",Main!J45,", ",Main!K45," line(s)&lt;/i&gt;&lt;/div&gt;&lt;div class=""",Main!N45,""" style='width:",Main!M45,"px; height:",Main!L45,"px'&gt;",Main!H45,"&lt;/div&gt;&lt;br&gt;",IF(Main!A46="","&lt;/body&gt;
&lt;/html&gt;","")),"")</f>
        <v/>
      </c>
      <c r="I43" t="str">
        <f t="shared" si="0"/>
        <v/>
      </c>
    </row>
    <row r="44" spans="1:9" x14ac:dyDescent="0.25">
      <c r="A44" s="1" t="str">
        <f>IF(Main!A46&lt;&gt;"",CONCATENATE("&lt;div class='String_ID_ISSUE'&gt;&lt;b&gt;ID: ",Main!A46,"&lt;/b&gt; - &lt;i&gt;",Main!I46,"pt, tracking ",Main!J46,", ",Main!K46," line(s)&lt;/i&gt;&lt;/div&gt;&lt;div class=""",Main!N46,""" style='width:",Main!M46,"px; height:",Main!L46,"px'&gt;",Main!H46,"&lt;/div&gt;&lt;br&gt;",IF(Main!A47="","&lt;/body&gt;
&lt;/html&gt;","")),"")</f>
        <v/>
      </c>
      <c r="I44" t="str">
        <f t="shared" si="0"/>
        <v/>
      </c>
    </row>
    <row r="45" spans="1:9" x14ac:dyDescent="0.25">
      <c r="A45" s="1" t="str">
        <f>IF(Main!A47&lt;&gt;"",CONCATENATE("&lt;div class='String_ID_ISSUE'&gt;&lt;b&gt;ID: ",Main!A47,"&lt;/b&gt; - &lt;i&gt;",Main!I47,"pt, tracking ",Main!J47,", ",Main!K47," line(s)&lt;/i&gt;&lt;/div&gt;&lt;div class=""",Main!N47,""" style='width:",Main!M47,"px; height:",Main!L47,"px'&gt;",Main!H47,"&lt;/div&gt;&lt;br&gt;",IF(Main!A48="","&lt;/body&gt;
&lt;/html&gt;","")),"")</f>
        <v/>
      </c>
      <c r="I45" t="str">
        <f t="shared" si="0"/>
        <v/>
      </c>
    </row>
    <row r="46" spans="1:9" x14ac:dyDescent="0.25">
      <c r="A46" s="1" t="str">
        <f>IF(Main!A48&lt;&gt;"",CONCATENATE("&lt;div class='String_ID_ISSUE'&gt;&lt;b&gt;ID: ",Main!A48,"&lt;/b&gt; - &lt;i&gt;",Main!I48,"pt, tracking ",Main!J48,", ",Main!K48," line(s)&lt;/i&gt;&lt;/div&gt;&lt;div class=""",Main!N48,""" style='width:",Main!M48,"px; height:",Main!L48,"px'&gt;",Main!H48,"&lt;/div&gt;&lt;br&gt;",IF(Main!A49="","&lt;/body&gt;
&lt;/html&gt;","")),"")</f>
        <v/>
      </c>
      <c r="I46" t="str">
        <f t="shared" si="0"/>
        <v/>
      </c>
    </row>
    <row r="47" spans="1:9" x14ac:dyDescent="0.25">
      <c r="A47" s="1" t="str">
        <f>IF(Main!A49&lt;&gt;"",CONCATENATE("&lt;div class='String_ID_ISSUE'&gt;&lt;b&gt;ID: ",Main!A49,"&lt;/b&gt; - &lt;i&gt;",Main!I49,"pt, tracking ",Main!J49,", ",Main!K49," line(s)&lt;/i&gt;&lt;/div&gt;&lt;div class=""",Main!N49,""" style='width:",Main!M49,"px; height:",Main!L49,"px'&gt;",Main!H49,"&lt;/div&gt;&lt;br&gt;",IF(Main!A50="","&lt;/body&gt;
&lt;/html&gt;","")),"")</f>
        <v/>
      </c>
      <c r="I47" t="str">
        <f t="shared" si="0"/>
        <v/>
      </c>
    </row>
    <row r="48" spans="1:9" x14ac:dyDescent="0.25">
      <c r="A48" s="1" t="str">
        <f>IF(Main!A50&lt;&gt;"",CONCATENATE("&lt;div class='String_ID_ISSUE'&gt;&lt;b&gt;ID: ",Main!A50,"&lt;/b&gt; - &lt;i&gt;",Main!I50,"pt, tracking ",Main!J50,", ",Main!K50," line(s)&lt;/i&gt;&lt;/div&gt;&lt;div class=""",Main!N50,""" style='width:",Main!M50,"px; height:",Main!L50,"px'&gt;",Main!H50,"&lt;/div&gt;&lt;br&gt;",IF(Main!A51="","&lt;/body&gt;
&lt;/html&gt;","")),"")</f>
        <v/>
      </c>
      <c r="I48" t="str">
        <f t="shared" si="0"/>
        <v/>
      </c>
    </row>
    <row r="49" spans="1:9" x14ac:dyDescent="0.25">
      <c r="A49" s="1" t="str">
        <f>IF(Main!A51&lt;&gt;"",CONCATENATE("&lt;div class='String_ID_ISSUE'&gt;&lt;b&gt;ID: ",Main!A51,"&lt;/b&gt; - &lt;i&gt;",Main!I51,"pt, tracking ",Main!J51,", ",Main!K51," line(s)&lt;/i&gt;&lt;/div&gt;&lt;div class=""",Main!N51,""" style='width:",Main!M51,"px; height:",Main!L51,"px'&gt;",Main!H51,"&lt;/div&gt;&lt;br&gt;",IF(Main!A52="","&lt;/body&gt;
&lt;/html&gt;","")),"")</f>
        <v/>
      </c>
      <c r="I49" t="str">
        <f t="shared" si="0"/>
        <v/>
      </c>
    </row>
    <row r="50" spans="1:9" x14ac:dyDescent="0.25">
      <c r="A50" s="1" t="str">
        <f>IF(Main!A52&lt;&gt;"",CONCATENATE("&lt;div class='String_ID_ISSUE'&gt;&lt;b&gt;ID: ",Main!A52,"&lt;/b&gt; - &lt;i&gt;",Main!I52,"pt, tracking ",Main!J52,", ",Main!K52," line(s)&lt;/i&gt;&lt;/div&gt;&lt;div class=""",Main!N52,""" style='width:",Main!M52,"px; height:",Main!L52,"px'&gt;",Main!H52,"&lt;/div&gt;&lt;br&gt;",IF(Main!A53="","&lt;/body&gt;
&lt;/html&gt;","")),"")</f>
        <v/>
      </c>
      <c r="I50" t="str">
        <f t="shared" si="0"/>
        <v/>
      </c>
    </row>
    <row r="51" spans="1:9" x14ac:dyDescent="0.25">
      <c r="A51" s="1" t="str">
        <f>IF(Main!A53&lt;&gt;"",CONCATENATE("&lt;div class='String_ID_ISSUE'&gt;&lt;b&gt;ID: ",Main!A53,"&lt;/b&gt; - &lt;i&gt;",Main!I53,"pt, tracking ",Main!J53,", ",Main!K53," line(s)&lt;/i&gt;&lt;/div&gt;&lt;div class=""",Main!N53,""" style='width:",Main!M53,"px; height:",Main!L53,"px'&gt;",Main!H53,"&lt;/div&gt;&lt;br&gt;",IF(Main!A54="","&lt;/body&gt;
&lt;/html&gt;","")),"")</f>
        <v/>
      </c>
      <c r="I51" t="str">
        <f t="shared" si="0"/>
        <v/>
      </c>
    </row>
    <row r="52" spans="1:9" x14ac:dyDescent="0.25">
      <c r="A52" s="1" t="str">
        <f>IF(Main!A54&lt;&gt;"",CONCATENATE("&lt;div class='String_ID_ISSUE'&gt;&lt;b&gt;ID: ",Main!A54,"&lt;/b&gt; - &lt;i&gt;",Main!I54,"pt, tracking ",Main!J54,", ",Main!K54," line(s)&lt;/i&gt;&lt;/div&gt;&lt;div class=""",Main!N54,""" style='width:",Main!M54,"px; height:",Main!L54,"px'&gt;",Main!H54,"&lt;/div&gt;&lt;br&gt;",IF(Main!A55="","&lt;/body&gt;
&lt;/html&gt;","")),"")</f>
        <v/>
      </c>
      <c r="I52" t="str">
        <f t="shared" si="0"/>
        <v/>
      </c>
    </row>
    <row r="53" spans="1:9" x14ac:dyDescent="0.25">
      <c r="A53" s="1" t="str">
        <f>IF(Main!A55&lt;&gt;"",CONCATENATE("&lt;div class='String_ID_ISSUE'&gt;&lt;b&gt;ID: ",Main!A55,"&lt;/b&gt; - &lt;i&gt;",Main!I55,"pt, tracking ",Main!J55,", ",Main!K55," line(s)&lt;/i&gt;&lt;/div&gt;&lt;div class=""",Main!N55,""" style='width:",Main!M55,"px; height:",Main!L55,"px'&gt;",Main!H55,"&lt;/div&gt;&lt;br&gt;",IF(Main!A56="","&lt;/body&gt;
&lt;/html&gt;","")),"")</f>
        <v/>
      </c>
      <c r="I53" t="str">
        <f t="shared" si="0"/>
        <v/>
      </c>
    </row>
    <row r="54" spans="1:9" x14ac:dyDescent="0.25">
      <c r="A54" s="1" t="str">
        <f>IF(Main!A56&lt;&gt;"",CONCATENATE("&lt;div class='String_ID_ISSUE'&gt;&lt;b&gt;ID: ",Main!A56,"&lt;/b&gt; - &lt;i&gt;",Main!I56,"pt, tracking ",Main!J56,", ",Main!K56," line(s)&lt;/i&gt;&lt;/div&gt;&lt;div class=""",Main!N56,""" style='width:",Main!M56,"px; height:",Main!L56,"px'&gt;",Main!H56,"&lt;/div&gt;&lt;br&gt;",IF(Main!A57="","&lt;/body&gt;
&lt;/html&gt;","")),"")</f>
        <v/>
      </c>
      <c r="I54" t="str">
        <f t="shared" si="0"/>
        <v/>
      </c>
    </row>
    <row r="55" spans="1:9" x14ac:dyDescent="0.25">
      <c r="A55" s="1" t="str">
        <f>IF(Main!A57&lt;&gt;"",CONCATENATE("&lt;div class='String_ID_ISSUE'&gt;&lt;b&gt;ID: ",Main!A57,"&lt;/b&gt; - &lt;i&gt;",Main!I57,"pt, tracking ",Main!J57,", ",Main!K57," line(s)&lt;/i&gt;&lt;/div&gt;&lt;div class=""",Main!N57,""" style='width:",Main!M57,"px; height:",Main!L57,"px'&gt;",Main!H57,"&lt;/div&gt;&lt;br&gt;",IF(Main!A58="","&lt;/body&gt;
&lt;/html&gt;","")),"")</f>
        <v/>
      </c>
      <c r="I55" t="str">
        <f t="shared" si="0"/>
        <v/>
      </c>
    </row>
    <row r="56" spans="1:9" x14ac:dyDescent="0.25">
      <c r="A56" s="1" t="str">
        <f>IF(Main!A58&lt;&gt;"",CONCATENATE("&lt;div class='String_ID_ISSUE'&gt;&lt;b&gt;ID: ",Main!A58,"&lt;/b&gt; - &lt;i&gt;",Main!I58,"pt, tracking ",Main!J58,", ",Main!K58," line(s)&lt;/i&gt;&lt;/div&gt;&lt;div class=""",Main!N58,""" style='width:",Main!M58,"px; height:",Main!L58,"px'&gt;",Main!H58,"&lt;/div&gt;&lt;br&gt;",IF(Main!A59="","&lt;/body&gt;
&lt;/html&gt;","")),"")</f>
        <v/>
      </c>
      <c r="I56" t="str">
        <f t="shared" si="0"/>
        <v/>
      </c>
    </row>
    <row r="57" spans="1:9" x14ac:dyDescent="0.25">
      <c r="A57" s="1" t="str">
        <f>IF(Main!A59&lt;&gt;"",CONCATENATE("&lt;div class='String_ID_ISSUE'&gt;&lt;b&gt;ID: ",Main!A59,"&lt;/b&gt; - &lt;i&gt;",Main!I59,"pt, tracking ",Main!J59,", ",Main!K59," line(s)&lt;/i&gt;&lt;/div&gt;&lt;div class=""",Main!N59,""" style='width:",Main!M59,"px; height:",Main!L59,"px'&gt;",Main!H59,"&lt;/div&gt;&lt;br&gt;",IF(Main!A60="","&lt;/body&gt;
&lt;/html&gt;","")),"")</f>
        <v/>
      </c>
      <c r="I57" t="str">
        <f t="shared" si="0"/>
        <v/>
      </c>
    </row>
    <row r="58" spans="1:9" x14ac:dyDescent="0.25">
      <c r="A58" s="1" t="str">
        <f>IF(Main!A60&lt;&gt;"",CONCATENATE("&lt;div class='String_ID_ISSUE'&gt;&lt;b&gt;ID: ",Main!A60,"&lt;/b&gt; - &lt;i&gt;",Main!I60,"pt, tracking ",Main!J60,", ",Main!K60," line(s)&lt;/i&gt;&lt;/div&gt;&lt;div class=""",Main!N60,""" style='width:",Main!M60,"px; height:",Main!L60,"px'&gt;",Main!H60,"&lt;/div&gt;&lt;br&gt;",IF(Main!A61="","&lt;/body&gt;
&lt;/html&gt;","")),"")</f>
        <v/>
      </c>
      <c r="I58" t="str">
        <f t="shared" si="0"/>
        <v/>
      </c>
    </row>
    <row r="59" spans="1:9" x14ac:dyDescent="0.25">
      <c r="A59" s="1" t="str">
        <f>IF(Main!A61&lt;&gt;"",CONCATENATE("&lt;div class='String_ID_ISSUE'&gt;&lt;b&gt;ID: ",Main!A61,"&lt;/b&gt; - &lt;i&gt;",Main!I61,"pt, tracking ",Main!J61,", ",Main!K61," line(s)&lt;/i&gt;&lt;/div&gt;&lt;div class=""",Main!N61,""" style='width:",Main!M61,"px; height:",Main!L61,"px'&gt;",Main!H61,"&lt;/div&gt;&lt;br&gt;",IF(Main!A62="","&lt;/body&gt;
&lt;/html&gt;","")),"")</f>
        <v/>
      </c>
      <c r="I59" t="str">
        <f t="shared" si="0"/>
        <v/>
      </c>
    </row>
    <row r="60" spans="1:9" x14ac:dyDescent="0.25">
      <c r="A60" s="1" t="str">
        <f>IF(Main!A62&lt;&gt;"",CONCATENATE("&lt;div class='String_ID_ISSUE'&gt;&lt;b&gt;ID: ",Main!A62,"&lt;/b&gt; - &lt;i&gt;",Main!I62,"pt, tracking ",Main!J62,", ",Main!K62," line(s)&lt;/i&gt;&lt;/div&gt;&lt;div class=""",Main!N62,""" style='width:",Main!M62,"px; height:",Main!L62,"px'&gt;",Main!H62,"&lt;/div&gt;&lt;br&gt;",IF(Main!A63="","&lt;/body&gt;
&lt;/html&gt;","")),"")</f>
        <v/>
      </c>
      <c r="I60" t="str">
        <f t="shared" si="0"/>
        <v/>
      </c>
    </row>
    <row r="61" spans="1:9" x14ac:dyDescent="0.25">
      <c r="A61" s="1" t="str">
        <f>IF(Main!A63&lt;&gt;"",CONCATENATE("&lt;div class='String_ID_ISSUE'&gt;&lt;b&gt;ID: ",Main!A63,"&lt;/b&gt; - &lt;i&gt;",Main!I63,"pt, tracking ",Main!J63,", ",Main!K63," line(s)&lt;/i&gt;&lt;/div&gt;&lt;div class=""",Main!N63,""" style='width:",Main!M63,"px; height:",Main!L63,"px'&gt;",Main!H63,"&lt;/div&gt;&lt;br&gt;",IF(Main!A64="","&lt;/body&gt;
&lt;/html&gt;","")),"")</f>
        <v/>
      </c>
      <c r="I61" t="str">
        <f t="shared" si="0"/>
        <v/>
      </c>
    </row>
    <row r="62" spans="1:9" x14ac:dyDescent="0.25">
      <c r="A62" s="1" t="str">
        <f>IF(Main!A64&lt;&gt;"",CONCATENATE("&lt;div class='String_ID_ISSUE'&gt;&lt;b&gt;ID: ",Main!A64,"&lt;/b&gt; - &lt;i&gt;",Main!I64,"pt, tracking ",Main!J64,", ",Main!K64," line(s)&lt;/i&gt;&lt;/div&gt;&lt;div class=""",Main!N64,""" style='width:",Main!M64,"px; height:",Main!L64,"px'&gt;",Main!H64,"&lt;/div&gt;&lt;br&gt;",IF(Main!A65="","&lt;/body&gt;
&lt;/html&gt;","")),"")</f>
        <v/>
      </c>
      <c r="I62" t="str">
        <f t="shared" si="0"/>
        <v/>
      </c>
    </row>
    <row r="63" spans="1:9" x14ac:dyDescent="0.25">
      <c r="A63" s="1" t="str">
        <f>IF(Main!A65&lt;&gt;"",CONCATENATE("&lt;div class='String_ID_ISSUE'&gt;&lt;b&gt;ID: ",Main!A65,"&lt;/b&gt; - &lt;i&gt;",Main!I65,"pt, tracking ",Main!J65,", ",Main!K65," line(s)&lt;/i&gt;&lt;/div&gt;&lt;div class=""",Main!N65,""" style='width:",Main!M65,"px; height:",Main!L65,"px'&gt;",Main!H65,"&lt;/div&gt;&lt;br&gt;",IF(Main!A66="","&lt;/body&gt;
&lt;/html&gt;","")),"")</f>
        <v/>
      </c>
      <c r="I63" t="str">
        <f t="shared" si="0"/>
        <v/>
      </c>
    </row>
    <row r="64" spans="1:9" x14ac:dyDescent="0.25">
      <c r="A64" s="1" t="str">
        <f>IF(Main!A66&lt;&gt;"",CONCATENATE("&lt;div class='String_ID_ISSUE'&gt;&lt;b&gt;ID: ",Main!A66,"&lt;/b&gt; - &lt;i&gt;",Main!I66,"pt, tracking ",Main!J66,", ",Main!K66," line(s)&lt;/i&gt;&lt;/div&gt;&lt;div class=""",Main!N66,""" style='width:",Main!M66,"px; height:",Main!L66,"px'&gt;",Main!H66,"&lt;/div&gt;&lt;br&gt;",IF(Main!A67="","&lt;/body&gt;
&lt;/html&gt;","")),"")</f>
        <v/>
      </c>
      <c r="I64" t="str">
        <f t="shared" si="0"/>
        <v/>
      </c>
    </row>
    <row r="65" spans="1:9" x14ac:dyDescent="0.25">
      <c r="A65" s="1" t="str">
        <f>IF(Main!A67&lt;&gt;"",CONCATENATE("&lt;div class='String_ID_ISSUE'&gt;&lt;b&gt;ID: ",Main!A67,"&lt;/b&gt; - &lt;i&gt;",Main!I67,"pt, tracking ",Main!J67,", ",Main!K67," line(s)&lt;/i&gt;&lt;/div&gt;&lt;div class=""",Main!N67,""" style='width:",Main!M67,"px; height:",Main!L67,"px'&gt;",Main!H67,"&lt;/div&gt;&lt;br&gt;",IF(Main!A68="","&lt;/body&gt;
&lt;/html&gt;","")),"")</f>
        <v/>
      </c>
      <c r="I65" t="str">
        <f t="shared" si="0"/>
        <v/>
      </c>
    </row>
    <row r="66" spans="1:9" x14ac:dyDescent="0.25">
      <c r="A66" s="1" t="str">
        <f>IF(Main!A68&lt;&gt;"",CONCATENATE("&lt;div class='String_ID_ISSUE'&gt;&lt;b&gt;ID: ",Main!A68,"&lt;/b&gt; - &lt;i&gt;",Main!I68,"pt, tracking ",Main!J68,", ",Main!K68," line(s)&lt;/i&gt;&lt;/div&gt;&lt;div class=""",Main!N68,""" style='width:",Main!M68,"px; height:",Main!L68,"px'&gt;",Main!H68,"&lt;/div&gt;&lt;br&gt;",IF(Main!A69="","&lt;/body&gt;
&lt;/html&gt;","")),"")</f>
        <v/>
      </c>
      <c r="I66" t="str">
        <f t="shared" ref="I66:I129" si="1">IF(A67&lt;&gt;"",1,"")</f>
        <v/>
      </c>
    </row>
    <row r="67" spans="1:9" x14ac:dyDescent="0.25">
      <c r="A67" s="1" t="str">
        <f>IF(Main!A69&lt;&gt;"",CONCATENATE("&lt;div class='String_ID_ISSUE'&gt;&lt;b&gt;ID: ",Main!A69,"&lt;/b&gt; - &lt;i&gt;",Main!I69,"pt, tracking ",Main!J69,", ",Main!K69," line(s)&lt;/i&gt;&lt;/div&gt;&lt;div class=""",Main!N69,""" style='width:",Main!M69,"px; height:",Main!L69,"px'&gt;",Main!H69,"&lt;/div&gt;&lt;br&gt;",IF(Main!A70="","&lt;/body&gt;
&lt;/html&gt;","")),"")</f>
        <v/>
      </c>
      <c r="I67" t="str">
        <f t="shared" si="1"/>
        <v/>
      </c>
    </row>
    <row r="68" spans="1:9" x14ac:dyDescent="0.25">
      <c r="A68" s="1" t="str">
        <f>IF(Main!A70&lt;&gt;"",CONCATENATE("&lt;div class='String_ID_ISSUE'&gt;&lt;b&gt;ID: ",Main!A70,"&lt;/b&gt; - &lt;i&gt;",Main!I70,"pt, tracking ",Main!J70,", ",Main!K70," line(s)&lt;/i&gt;&lt;/div&gt;&lt;div class=""",Main!N70,""" style='width:",Main!M70,"px; height:",Main!L70,"px'&gt;",Main!H70,"&lt;/div&gt;&lt;br&gt;",IF(Main!A71="","&lt;/body&gt;
&lt;/html&gt;","")),"")</f>
        <v/>
      </c>
      <c r="I68" t="str">
        <f t="shared" si="1"/>
        <v/>
      </c>
    </row>
    <row r="69" spans="1:9" x14ac:dyDescent="0.25">
      <c r="A69" s="1" t="str">
        <f>IF(Main!A71&lt;&gt;"",CONCATENATE("&lt;div class='String_ID_ISSUE'&gt;&lt;b&gt;ID: ",Main!A71,"&lt;/b&gt; - &lt;i&gt;",Main!I71,"pt, tracking ",Main!J71,", ",Main!K71," line(s)&lt;/i&gt;&lt;/div&gt;&lt;div class=""",Main!N71,""" style='width:",Main!M71,"px; height:",Main!L71,"px'&gt;",Main!H71,"&lt;/div&gt;&lt;br&gt;",IF(Main!A72="","&lt;/body&gt;
&lt;/html&gt;","")),"")</f>
        <v/>
      </c>
      <c r="I69" t="str">
        <f t="shared" si="1"/>
        <v/>
      </c>
    </row>
    <row r="70" spans="1:9" x14ac:dyDescent="0.25">
      <c r="A70" s="1" t="str">
        <f>IF(Main!A72&lt;&gt;"",CONCATENATE("&lt;div class='String_ID_ISSUE'&gt;&lt;b&gt;ID: ",Main!A72,"&lt;/b&gt; - &lt;i&gt;",Main!I72,"pt, tracking ",Main!J72,", ",Main!K72," line(s)&lt;/i&gt;&lt;/div&gt;&lt;div class=""",Main!N72,""" style='width:",Main!M72,"px; height:",Main!L72,"px'&gt;",Main!H72,"&lt;/div&gt;&lt;br&gt;",IF(Main!A73="","&lt;/body&gt;
&lt;/html&gt;","")),"")</f>
        <v/>
      </c>
      <c r="I70" t="str">
        <f t="shared" si="1"/>
        <v/>
      </c>
    </row>
    <row r="71" spans="1:9" x14ac:dyDescent="0.25">
      <c r="A71" s="1" t="str">
        <f>IF(Main!A73&lt;&gt;"",CONCATENATE("&lt;div class='String_ID_ISSUE'&gt;&lt;b&gt;ID: ",Main!A73,"&lt;/b&gt; - &lt;i&gt;",Main!I73,"pt, tracking ",Main!J73,", ",Main!K73," line(s)&lt;/i&gt;&lt;/div&gt;&lt;div class=""",Main!N73,""" style='width:",Main!M73,"px; height:",Main!L73,"px'&gt;",Main!H73,"&lt;/div&gt;&lt;br&gt;",IF(Main!A74="","&lt;/body&gt;
&lt;/html&gt;","")),"")</f>
        <v/>
      </c>
      <c r="I71" t="str">
        <f t="shared" si="1"/>
        <v/>
      </c>
    </row>
    <row r="72" spans="1:9" x14ac:dyDescent="0.25">
      <c r="A72" s="1" t="str">
        <f>IF(Main!A74&lt;&gt;"",CONCATENATE("&lt;div class='String_ID_ISSUE'&gt;&lt;b&gt;ID: ",Main!A74,"&lt;/b&gt; - &lt;i&gt;",Main!I74,"pt, tracking ",Main!J74,", ",Main!K74," line(s)&lt;/i&gt;&lt;/div&gt;&lt;div class=""",Main!N74,""" style='width:",Main!M74,"px; height:",Main!L74,"px'&gt;",Main!H74,"&lt;/div&gt;&lt;br&gt;",IF(Main!A75="","&lt;/body&gt;
&lt;/html&gt;","")),"")</f>
        <v/>
      </c>
      <c r="I72" t="str">
        <f t="shared" si="1"/>
        <v/>
      </c>
    </row>
    <row r="73" spans="1:9" x14ac:dyDescent="0.25">
      <c r="A73" s="1" t="str">
        <f>IF(Main!A75&lt;&gt;"",CONCATENATE("&lt;div class='String_ID_ISSUE'&gt;&lt;b&gt;ID: ",Main!A75,"&lt;/b&gt; - &lt;i&gt;",Main!I75,"pt, tracking ",Main!J75,", ",Main!K75," line(s)&lt;/i&gt;&lt;/div&gt;&lt;div class=""",Main!N75,""" style='width:",Main!M75,"px; height:",Main!L75,"px'&gt;",Main!H75,"&lt;/div&gt;&lt;br&gt;",IF(Main!A76="","&lt;/body&gt;
&lt;/html&gt;","")),"")</f>
        <v/>
      </c>
      <c r="I73" t="str">
        <f t="shared" si="1"/>
        <v/>
      </c>
    </row>
    <row r="74" spans="1:9" x14ac:dyDescent="0.25">
      <c r="A74" s="1" t="str">
        <f>IF(Main!A76&lt;&gt;"",CONCATENATE("&lt;div class='String_ID_ISSUE'&gt;&lt;b&gt;ID: ",Main!A76,"&lt;/b&gt; - &lt;i&gt;",Main!I76,"pt, tracking ",Main!J76,", ",Main!K76," line(s)&lt;/i&gt;&lt;/div&gt;&lt;div class=""",Main!N76,""" style='width:",Main!M76,"px; height:",Main!L76,"px'&gt;",Main!H76,"&lt;/div&gt;&lt;br&gt;",IF(Main!A77="","&lt;/body&gt;
&lt;/html&gt;","")),"")</f>
        <v/>
      </c>
      <c r="I74" t="str">
        <f t="shared" si="1"/>
        <v/>
      </c>
    </row>
    <row r="75" spans="1:9" x14ac:dyDescent="0.25">
      <c r="A75" s="1" t="str">
        <f>IF(Main!A77&lt;&gt;"",CONCATENATE("&lt;div class='String_ID_ISSUE'&gt;&lt;b&gt;ID: ",Main!A77,"&lt;/b&gt; - &lt;i&gt;",Main!I77,"pt, tracking ",Main!J77,", ",Main!K77," line(s)&lt;/i&gt;&lt;/div&gt;&lt;div class=""",Main!N77,""" style='width:",Main!M77,"px; height:",Main!L77,"px'&gt;",Main!H77,"&lt;/div&gt;&lt;br&gt;",IF(Main!A78="","&lt;/body&gt;
&lt;/html&gt;","")),"")</f>
        <v/>
      </c>
      <c r="I75" t="str">
        <f t="shared" si="1"/>
        <v/>
      </c>
    </row>
    <row r="76" spans="1:9" x14ac:dyDescent="0.25">
      <c r="A76" s="1" t="str">
        <f>IF(Main!A78&lt;&gt;"",CONCATENATE("&lt;div class='String_ID_ISSUE'&gt;&lt;b&gt;ID: ",Main!A78,"&lt;/b&gt; - &lt;i&gt;",Main!I78,"pt, tracking ",Main!J78,", ",Main!K78," line(s)&lt;/i&gt;&lt;/div&gt;&lt;div class=""",Main!N78,""" style='width:",Main!M78,"px; height:",Main!L78,"px'&gt;",Main!H78,"&lt;/div&gt;&lt;br&gt;",IF(Main!A79="","&lt;/body&gt;
&lt;/html&gt;","")),"")</f>
        <v/>
      </c>
      <c r="I76" t="str">
        <f t="shared" si="1"/>
        <v/>
      </c>
    </row>
    <row r="77" spans="1:9" x14ac:dyDescent="0.25">
      <c r="A77" s="1" t="str">
        <f>IF(Main!A79&lt;&gt;"",CONCATENATE("&lt;div class='String_ID_ISSUE'&gt;&lt;b&gt;ID: ",Main!A79,"&lt;/b&gt; - &lt;i&gt;",Main!I79,"pt, tracking ",Main!J79,", ",Main!K79," line(s)&lt;/i&gt;&lt;/div&gt;&lt;div class=""",Main!N79,""" style='width:",Main!M79,"px; height:",Main!L79,"px'&gt;",Main!H79,"&lt;/div&gt;&lt;br&gt;",IF(Main!A80="","&lt;/body&gt;
&lt;/html&gt;","")),"")</f>
        <v/>
      </c>
      <c r="I77" t="str">
        <f t="shared" si="1"/>
        <v/>
      </c>
    </row>
    <row r="78" spans="1:9" x14ac:dyDescent="0.25">
      <c r="A78" s="1" t="str">
        <f>IF(Main!A80&lt;&gt;"",CONCATENATE("&lt;div class='String_ID_ISSUE'&gt;&lt;b&gt;ID: ",Main!A80,"&lt;/b&gt; - &lt;i&gt;",Main!I80,"pt, tracking ",Main!J80,", ",Main!K80," line(s)&lt;/i&gt;&lt;/div&gt;&lt;div class=""",Main!N80,""" style='width:",Main!M80,"px; height:",Main!L80,"px'&gt;",Main!H80,"&lt;/div&gt;&lt;br&gt;",IF(Main!A81="","&lt;/body&gt;
&lt;/html&gt;","")),"")</f>
        <v/>
      </c>
      <c r="I78" t="str">
        <f t="shared" si="1"/>
        <v/>
      </c>
    </row>
    <row r="79" spans="1:9" x14ac:dyDescent="0.25">
      <c r="A79" s="1" t="str">
        <f>IF(Main!A81&lt;&gt;"",CONCATENATE("&lt;div class='String_ID_ISSUE'&gt;&lt;b&gt;ID: ",Main!A81,"&lt;/b&gt; - &lt;i&gt;",Main!I81,"pt, tracking ",Main!J81,", ",Main!K81," line(s)&lt;/i&gt;&lt;/div&gt;&lt;div class=""",Main!N81,""" style='width:",Main!M81,"px; height:",Main!L81,"px'&gt;",Main!H81,"&lt;/div&gt;&lt;br&gt;",IF(Main!A82="","&lt;/body&gt;
&lt;/html&gt;","")),"")</f>
        <v/>
      </c>
      <c r="I79" t="str">
        <f t="shared" si="1"/>
        <v/>
      </c>
    </row>
    <row r="80" spans="1:9" x14ac:dyDescent="0.25">
      <c r="A80" s="1" t="str">
        <f>IF(Main!A82&lt;&gt;"",CONCATENATE("&lt;div class='String_ID_ISSUE'&gt;&lt;b&gt;ID: ",Main!A82,"&lt;/b&gt; - &lt;i&gt;",Main!I82,"pt, tracking ",Main!J82,", ",Main!K82," line(s)&lt;/i&gt;&lt;/div&gt;&lt;div class=""",Main!N82,""" style='width:",Main!M82,"px; height:",Main!L82,"px'&gt;",Main!H82,"&lt;/div&gt;&lt;br&gt;",IF(Main!A83="","&lt;/body&gt;
&lt;/html&gt;","")),"")</f>
        <v/>
      </c>
      <c r="I80" t="str">
        <f t="shared" si="1"/>
        <v/>
      </c>
    </row>
    <row r="81" spans="1:9" x14ac:dyDescent="0.25">
      <c r="A81" s="1" t="str">
        <f>IF(Main!A83&lt;&gt;"",CONCATENATE("&lt;div class='String_ID_ISSUE'&gt;&lt;b&gt;ID: ",Main!A83,"&lt;/b&gt; - &lt;i&gt;",Main!I83,"pt, tracking ",Main!J83,", ",Main!K83," line(s)&lt;/i&gt;&lt;/div&gt;&lt;div class=""",Main!N83,""" style='width:",Main!M83,"px; height:",Main!L83,"px'&gt;",Main!H83,"&lt;/div&gt;&lt;br&gt;",IF(Main!A84="","&lt;/body&gt;
&lt;/html&gt;","")),"")</f>
        <v/>
      </c>
      <c r="I81" t="str">
        <f t="shared" si="1"/>
        <v/>
      </c>
    </row>
    <row r="82" spans="1:9" x14ac:dyDescent="0.25">
      <c r="A82" s="1" t="str">
        <f>IF(Main!A84&lt;&gt;"",CONCATENATE("&lt;div class='String_ID_ISSUE'&gt;&lt;b&gt;ID: ",Main!A84,"&lt;/b&gt; - &lt;i&gt;",Main!I84,"pt, tracking ",Main!J84,", ",Main!K84," line(s)&lt;/i&gt;&lt;/div&gt;&lt;div class=""",Main!N84,""" style='width:",Main!M84,"px; height:",Main!L84,"px'&gt;",Main!H84,"&lt;/div&gt;&lt;br&gt;",IF(Main!A85="","&lt;/body&gt;
&lt;/html&gt;","")),"")</f>
        <v/>
      </c>
      <c r="I82" t="str">
        <f t="shared" si="1"/>
        <v/>
      </c>
    </row>
    <row r="83" spans="1:9" x14ac:dyDescent="0.25">
      <c r="A83" s="1" t="str">
        <f>IF(Main!A85&lt;&gt;"",CONCATENATE("&lt;div class='String_ID_ISSUE'&gt;&lt;b&gt;ID: ",Main!A85,"&lt;/b&gt; - &lt;i&gt;",Main!I85,"pt, tracking ",Main!J85,", ",Main!K85," line(s)&lt;/i&gt;&lt;/div&gt;&lt;div class=""",Main!N85,""" style='width:",Main!M85,"px; height:",Main!L85,"px'&gt;",Main!H85,"&lt;/div&gt;&lt;br&gt;",IF(Main!A86="","&lt;/body&gt;
&lt;/html&gt;","")),"")</f>
        <v/>
      </c>
      <c r="I83" t="str">
        <f t="shared" si="1"/>
        <v/>
      </c>
    </row>
    <row r="84" spans="1:9" x14ac:dyDescent="0.25">
      <c r="A84" s="1" t="str">
        <f>IF(Main!A86&lt;&gt;"",CONCATENATE("&lt;div class='String_ID_ISSUE'&gt;&lt;b&gt;ID: ",Main!A86,"&lt;/b&gt; - &lt;i&gt;",Main!I86,"pt, tracking ",Main!J86,", ",Main!K86," line(s)&lt;/i&gt;&lt;/div&gt;&lt;div class=""",Main!N86,""" style='width:",Main!M86,"px; height:",Main!L86,"px'&gt;",Main!H86,"&lt;/div&gt;&lt;br&gt;",IF(Main!A87="","&lt;/body&gt;
&lt;/html&gt;","")),"")</f>
        <v/>
      </c>
      <c r="I84" t="str">
        <f t="shared" si="1"/>
        <v/>
      </c>
    </row>
    <row r="85" spans="1:9" x14ac:dyDescent="0.25">
      <c r="A85" s="1" t="str">
        <f>IF(Main!A87&lt;&gt;"",CONCATENATE("&lt;div class='String_ID_ISSUE'&gt;&lt;b&gt;ID: ",Main!A87,"&lt;/b&gt; - &lt;i&gt;",Main!I87,"pt, tracking ",Main!J87,", ",Main!K87," line(s)&lt;/i&gt;&lt;/div&gt;&lt;div class=""",Main!N87,""" style='width:",Main!M87,"px; height:",Main!L87,"px'&gt;",Main!H87,"&lt;/div&gt;&lt;br&gt;",IF(Main!A88="","&lt;/body&gt;
&lt;/html&gt;","")),"")</f>
        <v/>
      </c>
      <c r="I85" t="str">
        <f t="shared" si="1"/>
        <v/>
      </c>
    </row>
    <row r="86" spans="1:9" x14ac:dyDescent="0.25">
      <c r="A86" s="1" t="str">
        <f>IF(Main!A88&lt;&gt;"",CONCATENATE("&lt;div class='String_ID_ISSUE'&gt;&lt;b&gt;ID: ",Main!A88,"&lt;/b&gt; - &lt;i&gt;",Main!I88,"pt, tracking ",Main!J88,", ",Main!K88," line(s)&lt;/i&gt;&lt;/div&gt;&lt;div class=""",Main!N88,""" style='width:",Main!M88,"px; height:",Main!L88,"px'&gt;",Main!H88,"&lt;/div&gt;&lt;br&gt;",IF(Main!A89="","&lt;/body&gt;
&lt;/html&gt;","")),"")</f>
        <v/>
      </c>
      <c r="I86" t="str">
        <f t="shared" si="1"/>
        <v/>
      </c>
    </row>
    <row r="87" spans="1:9" x14ac:dyDescent="0.25">
      <c r="A87" s="1" t="str">
        <f>IF(Main!A89&lt;&gt;"",CONCATENATE("&lt;div class='String_ID_ISSUE'&gt;&lt;b&gt;ID: ",Main!A89,"&lt;/b&gt; - &lt;i&gt;",Main!I89,"pt, tracking ",Main!J89,", ",Main!K89," line(s)&lt;/i&gt;&lt;/div&gt;&lt;div class=""",Main!N89,""" style='width:",Main!M89,"px; height:",Main!L89,"px'&gt;",Main!H89,"&lt;/div&gt;&lt;br&gt;",IF(Main!A90="","&lt;/body&gt;
&lt;/html&gt;","")),"")</f>
        <v/>
      </c>
      <c r="I87" t="str">
        <f t="shared" si="1"/>
        <v/>
      </c>
    </row>
    <row r="88" spans="1:9" x14ac:dyDescent="0.25">
      <c r="A88" s="1" t="str">
        <f>IF(Main!A90&lt;&gt;"",CONCATENATE("&lt;div class='String_ID_ISSUE'&gt;&lt;b&gt;ID: ",Main!A90,"&lt;/b&gt; - &lt;i&gt;",Main!I90,"pt, tracking ",Main!J90,", ",Main!K90," line(s)&lt;/i&gt;&lt;/div&gt;&lt;div class=""",Main!N90,""" style='width:",Main!M90,"px; height:",Main!L90,"px'&gt;",Main!H90,"&lt;/div&gt;&lt;br&gt;",IF(Main!A91="","&lt;/body&gt;
&lt;/html&gt;","")),"")</f>
        <v/>
      </c>
      <c r="I88" t="str">
        <f t="shared" si="1"/>
        <v/>
      </c>
    </row>
    <row r="89" spans="1:9" x14ac:dyDescent="0.25">
      <c r="A89" s="1" t="str">
        <f>IF(Main!A91&lt;&gt;"",CONCATENATE("&lt;div class='String_ID_ISSUE'&gt;&lt;b&gt;ID: ",Main!A91,"&lt;/b&gt; - &lt;i&gt;",Main!I91,"pt, tracking ",Main!J91,", ",Main!K91," line(s)&lt;/i&gt;&lt;/div&gt;&lt;div class=""",Main!N91,""" style='width:",Main!M91,"px; height:",Main!L91,"px'&gt;",Main!H91,"&lt;/div&gt;&lt;br&gt;",IF(Main!A92="","&lt;/body&gt;
&lt;/html&gt;","")),"")</f>
        <v/>
      </c>
      <c r="I89" t="str">
        <f t="shared" si="1"/>
        <v/>
      </c>
    </row>
    <row r="90" spans="1:9" x14ac:dyDescent="0.25">
      <c r="A90" s="1" t="str">
        <f>IF(Main!A92&lt;&gt;"",CONCATENATE("&lt;div class='String_ID_ISSUE'&gt;&lt;b&gt;ID: ",Main!A92,"&lt;/b&gt; - &lt;i&gt;",Main!I92,"pt, tracking ",Main!J92,", ",Main!K92," line(s)&lt;/i&gt;&lt;/div&gt;&lt;div class=""",Main!N92,""" style='width:",Main!M92,"px; height:",Main!L92,"px'&gt;",Main!H92,"&lt;/div&gt;&lt;br&gt;",IF(Main!A93="","&lt;/body&gt;
&lt;/html&gt;","")),"")</f>
        <v/>
      </c>
      <c r="I90" t="str">
        <f t="shared" si="1"/>
        <v/>
      </c>
    </row>
    <row r="91" spans="1:9" x14ac:dyDescent="0.25">
      <c r="A91" s="1" t="str">
        <f>IF(Main!A93&lt;&gt;"",CONCATENATE("&lt;div class='String_ID_ISSUE'&gt;&lt;b&gt;ID: ",Main!A93,"&lt;/b&gt; - &lt;i&gt;",Main!I93,"pt, tracking ",Main!J93,", ",Main!K93," line(s)&lt;/i&gt;&lt;/div&gt;&lt;div class=""",Main!N93,""" style='width:",Main!M93,"px; height:",Main!L93,"px'&gt;",Main!H93,"&lt;/div&gt;&lt;br&gt;",IF(Main!A94="","&lt;/body&gt;
&lt;/html&gt;","")),"")</f>
        <v/>
      </c>
      <c r="I91" t="str">
        <f t="shared" si="1"/>
        <v/>
      </c>
    </row>
    <row r="92" spans="1:9" x14ac:dyDescent="0.25">
      <c r="A92" s="1" t="str">
        <f>IF(Main!A94&lt;&gt;"",CONCATENATE("&lt;div class='String_ID_ISSUE'&gt;&lt;b&gt;ID: ",Main!A94,"&lt;/b&gt; - &lt;i&gt;",Main!I94,"pt, tracking ",Main!J94,", ",Main!K94," line(s)&lt;/i&gt;&lt;/div&gt;&lt;div class=""",Main!N94,""" style='width:",Main!M94,"px; height:",Main!L94,"px'&gt;",Main!H94,"&lt;/div&gt;&lt;br&gt;",IF(Main!A95="","&lt;/body&gt;
&lt;/html&gt;","")),"")</f>
        <v/>
      </c>
      <c r="I92" t="str">
        <f t="shared" si="1"/>
        <v/>
      </c>
    </row>
    <row r="93" spans="1:9" x14ac:dyDescent="0.25">
      <c r="A93" s="1" t="str">
        <f>IF(Main!A95&lt;&gt;"",CONCATENATE("&lt;div class='String_ID_ISSUE'&gt;&lt;b&gt;ID: ",Main!A95,"&lt;/b&gt; - &lt;i&gt;",Main!I95,"pt, tracking ",Main!J95,", ",Main!K95," line(s)&lt;/i&gt;&lt;/div&gt;&lt;div class=""",Main!N95,""" style='width:",Main!M95,"px; height:",Main!L95,"px'&gt;",Main!H95,"&lt;/div&gt;&lt;br&gt;",IF(Main!A96="","&lt;/body&gt;
&lt;/html&gt;","")),"")</f>
        <v/>
      </c>
      <c r="I93" t="str">
        <f t="shared" si="1"/>
        <v/>
      </c>
    </row>
    <row r="94" spans="1:9" x14ac:dyDescent="0.25">
      <c r="A94" s="1" t="str">
        <f>IF(Main!A96&lt;&gt;"",CONCATENATE("&lt;div class='String_ID_ISSUE'&gt;&lt;b&gt;ID: ",Main!A96,"&lt;/b&gt; - &lt;i&gt;",Main!I96,"pt, tracking ",Main!J96,", ",Main!K96," line(s)&lt;/i&gt;&lt;/div&gt;&lt;div class=""",Main!N96,""" style='width:",Main!M96,"px; height:",Main!L96,"px'&gt;",Main!H96,"&lt;/div&gt;&lt;br&gt;",IF(Main!A97="","&lt;/body&gt;
&lt;/html&gt;","")),"")</f>
        <v/>
      </c>
      <c r="I94" t="str">
        <f t="shared" si="1"/>
        <v/>
      </c>
    </row>
    <row r="95" spans="1:9" x14ac:dyDescent="0.25">
      <c r="A95" s="1" t="str">
        <f>IF(Main!A97&lt;&gt;"",CONCATENATE("&lt;div class='String_ID_ISSUE'&gt;&lt;b&gt;ID: ",Main!A97,"&lt;/b&gt; - &lt;i&gt;",Main!I97,"pt, tracking ",Main!J97,", ",Main!K97," line(s)&lt;/i&gt;&lt;/div&gt;&lt;div class=""",Main!N97,""" style='width:",Main!M97,"px; height:",Main!L97,"px'&gt;",Main!H97,"&lt;/div&gt;&lt;br&gt;",IF(Main!A98="","&lt;/body&gt;
&lt;/html&gt;","")),"")</f>
        <v/>
      </c>
      <c r="I95" t="str">
        <f t="shared" si="1"/>
        <v/>
      </c>
    </row>
    <row r="96" spans="1:9" x14ac:dyDescent="0.25">
      <c r="A96" s="1" t="str">
        <f>IF(Main!A98&lt;&gt;"",CONCATENATE("&lt;div class='String_ID_ISSUE'&gt;&lt;b&gt;ID: ",Main!A98,"&lt;/b&gt; - &lt;i&gt;",Main!I98,"pt, tracking ",Main!J98,", ",Main!K98," line(s)&lt;/i&gt;&lt;/div&gt;&lt;div class=""",Main!N98,""" style='width:",Main!M98,"px; height:",Main!L98,"px'&gt;",Main!H98,"&lt;/div&gt;&lt;br&gt;",IF(Main!A99="","&lt;/body&gt;
&lt;/html&gt;","")),"")</f>
        <v/>
      </c>
      <c r="I96" t="str">
        <f t="shared" si="1"/>
        <v/>
      </c>
    </row>
    <row r="97" spans="1:9" x14ac:dyDescent="0.25">
      <c r="A97" s="1" t="str">
        <f>IF(Main!A99&lt;&gt;"",CONCATENATE("&lt;div class='String_ID_ISSUE'&gt;&lt;b&gt;ID: ",Main!A99,"&lt;/b&gt; - &lt;i&gt;",Main!I99,"pt, tracking ",Main!J99,", ",Main!K99," line(s)&lt;/i&gt;&lt;/div&gt;&lt;div class=""",Main!N99,""" style='width:",Main!M99,"px; height:",Main!L99,"px'&gt;",Main!H99,"&lt;/div&gt;&lt;br&gt;",IF(Main!A100="","&lt;/body&gt;
&lt;/html&gt;","")),"")</f>
        <v/>
      </c>
      <c r="I97" t="str">
        <f t="shared" si="1"/>
        <v/>
      </c>
    </row>
    <row r="98" spans="1:9" x14ac:dyDescent="0.25">
      <c r="A98" s="1" t="str">
        <f>IF(Main!A100&lt;&gt;"",CONCATENATE("&lt;div class='String_ID_ISSUE'&gt;&lt;b&gt;ID: ",Main!A100,"&lt;/b&gt; - &lt;i&gt;",Main!I100,"pt, tracking ",Main!J100,", ",Main!K100," line(s)&lt;/i&gt;&lt;/div&gt;&lt;div class=""",Main!N100,""" style='width:",Main!M100,"px; height:",Main!L100,"px'&gt;",Main!H100,"&lt;/div&gt;&lt;br&gt;",IF(Main!A101="","&lt;/body&gt;
&lt;/html&gt;","")),"")</f>
        <v/>
      </c>
      <c r="I98" t="str">
        <f t="shared" si="1"/>
        <v/>
      </c>
    </row>
    <row r="99" spans="1:9" x14ac:dyDescent="0.25">
      <c r="A99" s="1" t="str">
        <f>IF(Main!A101&lt;&gt;"",CONCATENATE("&lt;div class='String_ID_ISSUE'&gt;&lt;b&gt;ID: ",Main!A101,"&lt;/b&gt; - &lt;i&gt;",Main!I101,"pt, tracking ",Main!J101,", ",Main!K101," line(s)&lt;/i&gt;&lt;/div&gt;&lt;div class=""",Main!N101,""" style='width:",Main!M101,"px; height:",Main!L101,"px'&gt;",Main!H101,"&lt;/div&gt;&lt;br&gt;",IF(Main!A102="","&lt;/body&gt;
&lt;/html&gt;","")),"")</f>
        <v/>
      </c>
      <c r="I99" t="str">
        <f t="shared" si="1"/>
        <v/>
      </c>
    </row>
    <row r="100" spans="1:9" x14ac:dyDescent="0.25">
      <c r="A100" s="1" t="str">
        <f>IF(Main!A102&lt;&gt;"",CONCATENATE("&lt;div class='String_ID_ISSUE'&gt;&lt;b&gt;ID: ",Main!A102,"&lt;/b&gt; - &lt;i&gt;",Main!I102,"pt, tracking ",Main!J102,", ",Main!K102," line(s)&lt;/i&gt;&lt;/div&gt;&lt;div class=""",Main!N102,""" style='width:",Main!M102,"px; height:",Main!L102,"px'&gt;",Main!H102,"&lt;/div&gt;&lt;br&gt;",IF(Main!A103="","&lt;/body&gt;
&lt;/html&gt;","")),"")</f>
        <v/>
      </c>
      <c r="I100" t="str">
        <f t="shared" si="1"/>
        <v/>
      </c>
    </row>
    <row r="101" spans="1:9" x14ac:dyDescent="0.25">
      <c r="A101" s="1" t="str">
        <f>IF(Main!A103&lt;&gt;"",CONCATENATE("&lt;div class='String_ID_ISSUE'&gt;&lt;b&gt;ID: ",Main!A103,"&lt;/b&gt; - &lt;i&gt;",Main!I103,"pt, tracking ",Main!J103,", ",Main!K103," line(s)&lt;/i&gt;&lt;/div&gt;&lt;div class=""",Main!N103,""" style='width:",Main!M103,"px; height:",Main!L103,"px'&gt;",Main!H103,"&lt;/div&gt;&lt;br&gt;",IF(Main!A104="","&lt;/body&gt;
&lt;/html&gt;","")),"")</f>
        <v/>
      </c>
      <c r="I101" t="str">
        <f t="shared" si="1"/>
        <v/>
      </c>
    </row>
    <row r="102" spans="1:9" x14ac:dyDescent="0.25">
      <c r="A102" s="1" t="str">
        <f>IF(Main!A104&lt;&gt;"",CONCATENATE("&lt;div class='String_ID_ISSUE'&gt;&lt;b&gt;ID: ",Main!A104,"&lt;/b&gt; - &lt;i&gt;",Main!I104,"pt, tracking ",Main!J104,", ",Main!K104," line(s)&lt;/i&gt;&lt;/div&gt;&lt;div class=""",Main!N104,""" style='width:",Main!M104,"px; height:",Main!L104,"px'&gt;",Main!H104,"&lt;/div&gt;&lt;br&gt;",IF(Main!A105="","&lt;/body&gt;
&lt;/html&gt;","")),"")</f>
        <v/>
      </c>
      <c r="I102" t="str">
        <f t="shared" si="1"/>
        <v/>
      </c>
    </row>
    <row r="103" spans="1:9" x14ac:dyDescent="0.25">
      <c r="A103" s="1" t="str">
        <f>IF(Main!A105&lt;&gt;"",CONCATENATE("&lt;div class='String_ID_ISSUE'&gt;&lt;b&gt;ID: ",Main!A105,"&lt;/b&gt; - &lt;i&gt;",Main!I105,"pt, tracking ",Main!J105,", ",Main!K105," line(s)&lt;/i&gt;&lt;/div&gt;&lt;div class=""",Main!N105,""" style='width:",Main!M105,"px; height:",Main!L105,"px'&gt;",Main!H105,"&lt;/div&gt;&lt;br&gt;",IF(Main!A106="","&lt;/body&gt;
&lt;/html&gt;","")),"")</f>
        <v/>
      </c>
      <c r="I103" t="str">
        <f t="shared" si="1"/>
        <v/>
      </c>
    </row>
    <row r="104" spans="1:9" x14ac:dyDescent="0.25">
      <c r="A104" s="1" t="str">
        <f>IF(Main!A106&lt;&gt;"",CONCATENATE("&lt;div class='String_ID_ISSUE'&gt;&lt;b&gt;ID: ",Main!A106,"&lt;/b&gt; - &lt;i&gt;",Main!I106,"pt, tracking ",Main!J106,", ",Main!K106," line(s)&lt;/i&gt;&lt;/div&gt;&lt;div class=""",Main!N106,""" style='width:",Main!M106,"px; height:",Main!L106,"px'&gt;",Main!H106,"&lt;/div&gt;&lt;br&gt;",IF(Main!A107="","&lt;/body&gt;
&lt;/html&gt;","")),"")</f>
        <v/>
      </c>
      <c r="I104" t="str">
        <f t="shared" si="1"/>
        <v/>
      </c>
    </row>
    <row r="105" spans="1:9" x14ac:dyDescent="0.25">
      <c r="A105" s="1" t="str">
        <f>IF(Main!A107&lt;&gt;"",CONCATENATE("&lt;div class='String_ID_ISSUE'&gt;&lt;b&gt;ID: ",Main!A107,"&lt;/b&gt; - &lt;i&gt;",Main!I107,"pt, tracking ",Main!J107,", ",Main!K107," line(s)&lt;/i&gt;&lt;/div&gt;&lt;div class=""",Main!N107,""" style='width:",Main!M107,"px; height:",Main!L107,"px'&gt;",Main!H107,"&lt;/div&gt;&lt;br&gt;",IF(Main!A108="","&lt;/body&gt;
&lt;/html&gt;","")),"")</f>
        <v/>
      </c>
      <c r="I105" t="str">
        <f t="shared" si="1"/>
        <v/>
      </c>
    </row>
    <row r="106" spans="1:9" x14ac:dyDescent="0.25">
      <c r="A106" s="1" t="str">
        <f>IF(Main!A108&lt;&gt;"",CONCATENATE("&lt;div class='String_ID_ISSUE'&gt;&lt;b&gt;ID: ",Main!A108,"&lt;/b&gt; - &lt;i&gt;",Main!I108,"pt, tracking ",Main!J108,", ",Main!K108," line(s)&lt;/i&gt;&lt;/div&gt;&lt;div class=""",Main!N108,""" style='width:",Main!M108,"px; height:",Main!L108,"px'&gt;",Main!H108,"&lt;/div&gt;&lt;br&gt;",IF(Main!A109="","&lt;/body&gt;
&lt;/html&gt;","")),"")</f>
        <v/>
      </c>
      <c r="I106" t="str">
        <f t="shared" si="1"/>
        <v/>
      </c>
    </row>
    <row r="107" spans="1:9" x14ac:dyDescent="0.25">
      <c r="A107" s="1" t="str">
        <f>IF(Main!A109&lt;&gt;"",CONCATENATE("&lt;div class='String_ID_ISSUE'&gt;&lt;b&gt;ID: ",Main!A109,"&lt;/b&gt; - &lt;i&gt;",Main!I109,"pt, tracking ",Main!J109,", ",Main!K109," line(s)&lt;/i&gt;&lt;/div&gt;&lt;div class=""",Main!N109,""" style='width:",Main!M109,"px; height:",Main!L109,"px'&gt;",Main!H109,"&lt;/div&gt;&lt;br&gt;",IF(Main!A110="","&lt;/body&gt;
&lt;/html&gt;","")),"")</f>
        <v/>
      </c>
      <c r="I107" t="str">
        <f t="shared" si="1"/>
        <v/>
      </c>
    </row>
    <row r="108" spans="1:9" x14ac:dyDescent="0.25">
      <c r="A108" s="1" t="str">
        <f>IF(Main!A110&lt;&gt;"",CONCATENATE("&lt;div class='String_ID_ISSUE'&gt;&lt;b&gt;ID: ",Main!A110,"&lt;/b&gt; - &lt;i&gt;",Main!I110,"pt, tracking ",Main!J110,", ",Main!K110," line(s)&lt;/i&gt;&lt;/div&gt;&lt;div class=""",Main!N110,""" style='width:",Main!M110,"px; height:",Main!L110,"px'&gt;",Main!H110,"&lt;/div&gt;&lt;br&gt;",IF(Main!A111="","&lt;/body&gt;
&lt;/html&gt;","")),"")</f>
        <v/>
      </c>
      <c r="I108" t="str">
        <f t="shared" si="1"/>
        <v/>
      </c>
    </row>
    <row r="109" spans="1:9" x14ac:dyDescent="0.25">
      <c r="A109" s="1" t="str">
        <f>IF(Main!A111&lt;&gt;"",CONCATENATE("&lt;div class='String_ID_ISSUE'&gt;&lt;b&gt;ID: ",Main!A111,"&lt;/b&gt; - &lt;i&gt;",Main!I111,"pt, tracking ",Main!J111,", ",Main!K111," line(s)&lt;/i&gt;&lt;/div&gt;&lt;div class=""",Main!N111,""" style='width:",Main!M111,"px; height:",Main!L111,"px'&gt;",Main!H111,"&lt;/div&gt;&lt;br&gt;",IF(Main!A112="","&lt;/body&gt;
&lt;/html&gt;","")),"")</f>
        <v/>
      </c>
      <c r="I109" t="str">
        <f t="shared" si="1"/>
        <v/>
      </c>
    </row>
    <row r="110" spans="1:9" x14ac:dyDescent="0.25">
      <c r="A110" s="1" t="str">
        <f>IF(Main!A112&lt;&gt;"",CONCATENATE("&lt;div class='String_ID_ISSUE'&gt;&lt;b&gt;ID: ",Main!A112,"&lt;/b&gt; - &lt;i&gt;",Main!I112,"pt, tracking ",Main!J112,", ",Main!K112," line(s)&lt;/i&gt;&lt;/div&gt;&lt;div class=""",Main!N112,""" style='width:",Main!M112,"px; height:",Main!L112,"px'&gt;",Main!H112,"&lt;/div&gt;&lt;br&gt;",IF(Main!A113="","&lt;/body&gt;
&lt;/html&gt;","")),"")</f>
        <v/>
      </c>
      <c r="I110" t="str">
        <f t="shared" si="1"/>
        <v/>
      </c>
    </row>
    <row r="111" spans="1:9" x14ac:dyDescent="0.25">
      <c r="A111" s="1" t="str">
        <f>IF(Main!A113&lt;&gt;"",CONCATENATE("&lt;div class='String_ID_ISSUE'&gt;&lt;b&gt;ID: ",Main!A113,"&lt;/b&gt; - &lt;i&gt;",Main!I113,"pt, tracking ",Main!J113,", ",Main!K113," line(s)&lt;/i&gt;&lt;/div&gt;&lt;div class=""",Main!N113,""" style='width:",Main!M113,"px; height:",Main!L113,"px'&gt;",Main!H113,"&lt;/div&gt;&lt;br&gt;",IF(Main!A114="","&lt;/body&gt;
&lt;/html&gt;","")),"")</f>
        <v/>
      </c>
      <c r="I111" t="str">
        <f t="shared" si="1"/>
        <v/>
      </c>
    </row>
    <row r="112" spans="1:9" x14ac:dyDescent="0.25">
      <c r="A112" s="1" t="str">
        <f>IF(Main!A114&lt;&gt;"",CONCATENATE("&lt;div class='String_ID_ISSUE'&gt;&lt;b&gt;ID: ",Main!A114,"&lt;/b&gt; - &lt;i&gt;",Main!I114,"pt, tracking ",Main!J114,", ",Main!K114," line(s)&lt;/i&gt;&lt;/div&gt;&lt;div class=""",Main!N114,""" style='width:",Main!M114,"px; height:",Main!L114,"px'&gt;",Main!H114,"&lt;/div&gt;&lt;br&gt;",IF(Main!A115="","&lt;/body&gt;
&lt;/html&gt;","")),"")</f>
        <v/>
      </c>
      <c r="I112" t="str">
        <f t="shared" si="1"/>
        <v/>
      </c>
    </row>
    <row r="113" spans="1:9" x14ac:dyDescent="0.25">
      <c r="A113" s="1" t="str">
        <f>IF(Main!A115&lt;&gt;"",CONCATENATE("&lt;div class='String_ID_ISSUE'&gt;&lt;b&gt;ID: ",Main!A115,"&lt;/b&gt; - &lt;i&gt;",Main!I115,"pt, tracking ",Main!J115,", ",Main!K115," line(s)&lt;/i&gt;&lt;/div&gt;&lt;div class=""",Main!N115,""" style='width:",Main!M115,"px; height:",Main!L115,"px'&gt;",Main!H115,"&lt;/div&gt;&lt;br&gt;",IF(Main!A116="","&lt;/body&gt;
&lt;/html&gt;","")),"")</f>
        <v/>
      </c>
      <c r="I113" t="str">
        <f t="shared" si="1"/>
        <v/>
      </c>
    </row>
    <row r="114" spans="1:9" x14ac:dyDescent="0.25">
      <c r="A114" s="1" t="str">
        <f>IF(Main!A116&lt;&gt;"",CONCATENATE("&lt;div class='String_ID_ISSUE'&gt;&lt;b&gt;ID: ",Main!A116,"&lt;/b&gt; - &lt;i&gt;",Main!I116,"pt, tracking ",Main!J116,", ",Main!K116," line(s)&lt;/i&gt;&lt;/div&gt;&lt;div class=""",Main!N116,""" style='width:",Main!M116,"px; height:",Main!L116,"px'&gt;",Main!H116,"&lt;/div&gt;&lt;br&gt;",IF(Main!A117="","&lt;/body&gt;
&lt;/html&gt;","")),"")</f>
        <v/>
      </c>
      <c r="I114" t="str">
        <f t="shared" si="1"/>
        <v/>
      </c>
    </row>
    <row r="115" spans="1:9" x14ac:dyDescent="0.25">
      <c r="A115" s="1" t="str">
        <f>IF(Main!A117&lt;&gt;"",CONCATENATE("&lt;div class='String_ID_ISSUE'&gt;&lt;b&gt;ID: ",Main!A117,"&lt;/b&gt; - &lt;i&gt;",Main!I117,"pt, tracking ",Main!J117,", ",Main!K117," line(s)&lt;/i&gt;&lt;/div&gt;&lt;div class=""",Main!N117,""" style='width:",Main!M117,"px; height:",Main!L117,"px'&gt;",Main!H117,"&lt;/div&gt;&lt;br&gt;",IF(Main!A118="","&lt;/body&gt;
&lt;/html&gt;","")),"")</f>
        <v/>
      </c>
      <c r="I115" t="str">
        <f t="shared" si="1"/>
        <v/>
      </c>
    </row>
    <row r="116" spans="1:9" x14ac:dyDescent="0.25">
      <c r="A116" s="1" t="str">
        <f>IF(Main!A118&lt;&gt;"",CONCATENATE("&lt;div class='String_ID_ISSUE'&gt;&lt;b&gt;ID: ",Main!A118,"&lt;/b&gt; - &lt;i&gt;",Main!I118,"pt, tracking ",Main!J118,", ",Main!K118," line(s)&lt;/i&gt;&lt;/div&gt;&lt;div class=""",Main!N118,""" style='width:",Main!M118,"px; height:",Main!L118,"px'&gt;",Main!H118,"&lt;/div&gt;&lt;br&gt;",IF(Main!A119="","&lt;/body&gt;
&lt;/html&gt;","")),"")</f>
        <v/>
      </c>
      <c r="I116" t="str">
        <f t="shared" si="1"/>
        <v/>
      </c>
    </row>
    <row r="117" spans="1:9" x14ac:dyDescent="0.25">
      <c r="A117" s="1" t="str">
        <f>IF(Main!A119&lt;&gt;"",CONCATENATE("&lt;div class='String_ID_ISSUE'&gt;&lt;b&gt;ID: ",Main!A119,"&lt;/b&gt; - &lt;i&gt;",Main!I119,"pt, tracking ",Main!J119,", ",Main!K119," line(s)&lt;/i&gt;&lt;/div&gt;&lt;div class=""",Main!N119,""" style='width:",Main!M119,"px; height:",Main!L119,"px'&gt;",Main!H119,"&lt;/div&gt;&lt;br&gt;",IF(Main!A120="","&lt;/body&gt;
&lt;/html&gt;","")),"")</f>
        <v/>
      </c>
      <c r="I117" t="str">
        <f t="shared" si="1"/>
        <v/>
      </c>
    </row>
    <row r="118" spans="1:9" x14ac:dyDescent="0.25">
      <c r="A118" s="1" t="str">
        <f>IF(Main!A120&lt;&gt;"",CONCATENATE("&lt;div class='String_ID_ISSUE'&gt;&lt;b&gt;ID: ",Main!A120,"&lt;/b&gt; - &lt;i&gt;",Main!I120,"pt, tracking ",Main!J120,", ",Main!K120," line(s)&lt;/i&gt;&lt;/div&gt;&lt;div class=""",Main!N120,""" style='width:",Main!M120,"px; height:",Main!L120,"px'&gt;",Main!H120,"&lt;/div&gt;&lt;br&gt;",IF(Main!A121="","&lt;/body&gt;
&lt;/html&gt;","")),"")</f>
        <v/>
      </c>
      <c r="I118" t="str">
        <f t="shared" si="1"/>
        <v/>
      </c>
    </row>
    <row r="119" spans="1:9" x14ac:dyDescent="0.25">
      <c r="A119" s="1" t="str">
        <f>IF(Main!A121&lt;&gt;"",CONCATENATE("&lt;div class='String_ID_ISSUE'&gt;&lt;b&gt;ID: ",Main!A121,"&lt;/b&gt; - &lt;i&gt;",Main!I121,"pt, tracking ",Main!J121,", ",Main!K121," line(s)&lt;/i&gt;&lt;/div&gt;&lt;div class=""",Main!N121,""" style='width:",Main!M121,"px; height:",Main!L121,"px'&gt;",Main!H121,"&lt;/div&gt;&lt;br&gt;",IF(Main!A122="","&lt;/body&gt;
&lt;/html&gt;","")),"")</f>
        <v/>
      </c>
      <c r="I119" t="str">
        <f t="shared" si="1"/>
        <v/>
      </c>
    </row>
    <row r="120" spans="1:9" x14ac:dyDescent="0.25">
      <c r="A120" s="1" t="str">
        <f>IF(Main!A122&lt;&gt;"",CONCATENATE("&lt;div class='String_ID_ISSUE'&gt;&lt;b&gt;ID: ",Main!A122,"&lt;/b&gt; - &lt;i&gt;",Main!I122,"pt, tracking ",Main!J122,", ",Main!K122," line(s)&lt;/i&gt;&lt;/div&gt;&lt;div class=""",Main!N122,""" style='width:",Main!M122,"px; height:",Main!L122,"px'&gt;",Main!H122,"&lt;/div&gt;&lt;br&gt;",IF(Main!A123="","&lt;/body&gt;
&lt;/html&gt;","")),"")</f>
        <v/>
      </c>
      <c r="I120" t="str">
        <f t="shared" si="1"/>
        <v/>
      </c>
    </row>
    <row r="121" spans="1:9" x14ac:dyDescent="0.25">
      <c r="A121" s="1" t="str">
        <f>IF(Main!A123&lt;&gt;"",CONCATENATE("&lt;div class='String_ID_ISSUE'&gt;&lt;b&gt;ID: ",Main!A123,"&lt;/b&gt; - &lt;i&gt;",Main!I123,"pt, tracking ",Main!J123,", ",Main!K123," line(s)&lt;/i&gt;&lt;/div&gt;&lt;div class=""",Main!N123,""" style='width:",Main!M123,"px; height:",Main!L123,"px'&gt;",Main!H123,"&lt;/div&gt;&lt;br&gt;",IF(Main!A124="","&lt;/body&gt;
&lt;/html&gt;","")),"")</f>
        <v/>
      </c>
      <c r="I121" t="str">
        <f t="shared" si="1"/>
        <v/>
      </c>
    </row>
    <row r="122" spans="1:9" x14ac:dyDescent="0.25">
      <c r="A122" s="1" t="str">
        <f>IF(Main!A124&lt;&gt;"",CONCATENATE("&lt;div class='String_ID_ISSUE'&gt;&lt;b&gt;ID: ",Main!A124,"&lt;/b&gt; - &lt;i&gt;",Main!I124,"pt, tracking ",Main!J124,", ",Main!K124," line(s)&lt;/i&gt;&lt;/div&gt;&lt;div class=""",Main!N124,""" style='width:",Main!M124,"px; height:",Main!L124,"px'&gt;",Main!H124,"&lt;/div&gt;&lt;br&gt;",IF(Main!A125="","&lt;/body&gt;
&lt;/html&gt;","")),"")</f>
        <v/>
      </c>
      <c r="I122" t="str">
        <f t="shared" si="1"/>
        <v/>
      </c>
    </row>
    <row r="123" spans="1:9" x14ac:dyDescent="0.25">
      <c r="A123" s="1" t="str">
        <f>IF(Main!A125&lt;&gt;"",CONCATENATE("&lt;div class='String_ID_ISSUE'&gt;&lt;b&gt;ID: ",Main!A125,"&lt;/b&gt; - &lt;i&gt;",Main!I125,"pt, tracking ",Main!J125,", ",Main!K125," line(s)&lt;/i&gt;&lt;/div&gt;&lt;div class=""",Main!N125,""" style='width:",Main!M125,"px; height:",Main!L125,"px'&gt;",Main!H125,"&lt;/div&gt;&lt;br&gt;",IF(Main!A126="","&lt;/body&gt;
&lt;/html&gt;","")),"")</f>
        <v/>
      </c>
      <c r="I123" t="str">
        <f t="shared" si="1"/>
        <v/>
      </c>
    </row>
    <row r="124" spans="1:9" x14ac:dyDescent="0.25">
      <c r="A124" s="1" t="str">
        <f>IF(Main!A126&lt;&gt;"",CONCATENATE("&lt;div class='String_ID_ISSUE'&gt;&lt;b&gt;ID: ",Main!A126,"&lt;/b&gt; - &lt;i&gt;",Main!I126,"pt, tracking ",Main!J126,", ",Main!K126," line(s)&lt;/i&gt;&lt;/div&gt;&lt;div class=""",Main!N126,""" style='width:",Main!M126,"px; height:",Main!L126,"px'&gt;",Main!H126,"&lt;/div&gt;&lt;br&gt;",IF(Main!A127="","&lt;/body&gt;
&lt;/html&gt;","")),"")</f>
        <v/>
      </c>
      <c r="I124" t="str">
        <f t="shared" si="1"/>
        <v/>
      </c>
    </row>
    <row r="125" spans="1:9" x14ac:dyDescent="0.25">
      <c r="A125" s="1" t="str">
        <f>IF(Main!A127&lt;&gt;"",CONCATENATE("&lt;div class='String_ID_ISSUE'&gt;&lt;b&gt;ID: ",Main!A127,"&lt;/b&gt; - &lt;i&gt;",Main!I127,"pt, tracking ",Main!J127,", ",Main!K127," line(s)&lt;/i&gt;&lt;/div&gt;&lt;div class=""",Main!N127,""" style='width:",Main!M127,"px; height:",Main!L127,"px'&gt;",Main!H127,"&lt;/div&gt;&lt;br&gt;",IF(Main!A128="","&lt;/body&gt;
&lt;/html&gt;","")),"")</f>
        <v/>
      </c>
      <c r="I125" t="str">
        <f t="shared" si="1"/>
        <v/>
      </c>
    </row>
    <row r="126" spans="1:9" x14ac:dyDescent="0.25">
      <c r="A126" s="1" t="str">
        <f>IF(Main!A128&lt;&gt;"",CONCATENATE("&lt;div class='String_ID_ISSUE'&gt;&lt;b&gt;ID: ",Main!A128,"&lt;/b&gt; - &lt;i&gt;",Main!I128,"pt, tracking ",Main!J128,", ",Main!K128," line(s)&lt;/i&gt;&lt;/div&gt;&lt;div class=""",Main!N128,""" style='width:",Main!M128,"px; height:",Main!L128,"px'&gt;",Main!H128,"&lt;/div&gt;&lt;br&gt;",IF(Main!A129="","&lt;/body&gt;
&lt;/html&gt;","")),"")</f>
        <v/>
      </c>
      <c r="I126" t="str">
        <f t="shared" si="1"/>
        <v/>
      </c>
    </row>
    <row r="127" spans="1:9" x14ac:dyDescent="0.25">
      <c r="A127" s="1" t="str">
        <f>IF(Main!A129&lt;&gt;"",CONCATENATE("&lt;div class='String_ID_ISSUE'&gt;&lt;b&gt;ID: ",Main!A129,"&lt;/b&gt; - &lt;i&gt;",Main!I129,"pt, tracking ",Main!J129,", ",Main!K129," line(s)&lt;/i&gt;&lt;/div&gt;&lt;div class=""",Main!N129,""" style='width:",Main!M129,"px; height:",Main!L129,"px'&gt;",Main!H129,"&lt;/div&gt;&lt;br&gt;",IF(Main!A130="","&lt;/body&gt;
&lt;/html&gt;","")),"")</f>
        <v/>
      </c>
      <c r="I127" t="str">
        <f t="shared" si="1"/>
        <v/>
      </c>
    </row>
    <row r="128" spans="1:9" x14ac:dyDescent="0.25">
      <c r="A128" s="1" t="str">
        <f>IF(Main!A130&lt;&gt;"",CONCATENATE("&lt;div class='String_ID_ISSUE'&gt;&lt;b&gt;ID: ",Main!A130,"&lt;/b&gt; - &lt;i&gt;",Main!I130,"pt, tracking ",Main!J130,", ",Main!K130," line(s)&lt;/i&gt;&lt;/div&gt;&lt;div class=""",Main!N130,""" style='width:",Main!M130,"px; height:",Main!L130,"px'&gt;",Main!H130,"&lt;/div&gt;&lt;br&gt;",IF(Main!A131="","&lt;/body&gt;
&lt;/html&gt;","")),"")</f>
        <v/>
      </c>
      <c r="I128" t="str">
        <f t="shared" si="1"/>
        <v/>
      </c>
    </row>
    <row r="129" spans="1:9" x14ac:dyDescent="0.25">
      <c r="A129" s="1" t="str">
        <f>IF(Main!A131&lt;&gt;"",CONCATENATE("&lt;div class='String_ID_ISSUE'&gt;&lt;b&gt;ID: ",Main!A131,"&lt;/b&gt; - &lt;i&gt;",Main!I131,"pt, tracking ",Main!J131,", ",Main!K131," line(s)&lt;/i&gt;&lt;/div&gt;&lt;div class=""",Main!N131,""" style='width:",Main!M131,"px; height:",Main!L131,"px'&gt;",Main!H131,"&lt;/div&gt;&lt;br&gt;",IF(Main!A132="","&lt;/body&gt;
&lt;/html&gt;","")),"")</f>
        <v/>
      </c>
      <c r="I129" t="str">
        <f t="shared" si="1"/>
        <v/>
      </c>
    </row>
    <row r="130" spans="1:9" x14ac:dyDescent="0.25">
      <c r="A130" s="1" t="str">
        <f>IF(Main!A132&lt;&gt;"",CONCATENATE("&lt;div class='String_ID_ISSUE'&gt;&lt;b&gt;ID: ",Main!A132,"&lt;/b&gt; - &lt;i&gt;",Main!I132,"pt, tracking ",Main!J132,", ",Main!K132," line(s)&lt;/i&gt;&lt;/div&gt;&lt;div class=""",Main!N132,""" style='width:",Main!M132,"px; height:",Main!L132,"px'&gt;",Main!H132,"&lt;/div&gt;&lt;br&gt;",IF(Main!A133="","&lt;/body&gt;
&lt;/html&gt;","")),"")</f>
        <v/>
      </c>
      <c r="I130" t="str">
        <f t="shared" ref="I130:I193" si="2">IF(A131&lt;&gt;"",1,"")</f>
        <v/>
      </c>
    </row>
    <row r="131" spans="1:9" x14ac:dyDescent="0.25">
      <c r="A131" s="1" t="str">
        <f>IF(Main!A133&lt;&gt;"",CONCATENATE("&lt;div class='String_ID_ISSUE'&gt;&lt;b&gt;ID: ",Main!A133,"&lt;/b&gt; - &lt;i&gt;",Main!I133,"pt, tracking ",Main!J133,", ",Main!K133," line(s)&lt;/i&gt;&lt;/div&gt;&lt;div class=""",Main!N133,""" style='width:",Main!M133,"px; height:",Main!L133,"px'&gt;",Main!H133,"&lt;/div&gt;&lt;br&gt;",IF(Main!A134="","&lt;/body&gt;
&lt;/html&gt;","")),"")</f>
        <v/>
      </c>
      <c r="I131" t="str">
        <f t="shared" si="2"/>
        <v/>
      </c>
    </row>
    <row r="132" spans="1:9" x14ac:dyDescent="0.25">
      <c r="A132" s="1" t="str">
        <f>IF(Main!A134&lt;&gt;"",CONCATENATE("&lt;div class='String_ID_ISSUE'&gt;&lt;b&gt;ID: ",Main!A134,"&lt;/b&gt; - &lt;i&gt;",Main!I134,"pt, tracking ",Main!J134,", ",Main!K134," line(s)&lt;/i&gt;&lt;/div&gt;&lt;div class=""",Main!N134,""" style='width:",Main!M134,"px; height:",Main!L134,"px'&gt;",Main!H134,"&lt;/div&gt;&lt;br&gt;",IF(Main!A135="","&lt;/body&gt;
&lt;/html&gt;","")),"")</f>
        <v/>
      </c>
      <c r="I132" t="str">
        <f t="shared" si="2"/>
        <v/>
      </c>
    </row>
    <row r="133" spans="1:9" x14ac:dyDescent="0.25">
      <c r="A133" s="1" t="str">
        <f>IF(Main!A135&lt;&gt;"",CONCATENATE("&lt;div class='String_ID_ISSUE'&gt;&lt;b&gt;ID: ",Main!A135,"&lt;/b&gt; - &lt;i&gt;",Main!I135,"pt, tracking ",Main!J135,", ",Main!K135," line(s)&lt;/i&gt;&lt;/div&gt;&lt;div class=""",Main!N135,""" style='width:",Main!M135,"px; height:",Main!L135,"px'&gt;",Main!H135,"&lt;/div&gt;&lt;br&gt;",IF(Main!A136="","&lt;/body&gt;
&lt;/html&gt;","")),"")</f>
        <v/>
      </c>
      <c r="I133" t="str">
        <f t="shared" si="2"/>
        <v/>
      </c>
    </row>
    <row r="134" spans="1:9" x14ac:dyDescent="0.25">
      <c r="A134" s="1" t="str">
        <f>IF(Main!A136&lt;&gt;"",CONCATENATE("&lt;div class='String_ID_ISSUE'&gt;&lt;b&gt;ID: ",Main!A136,"&lt;/b&gt; - &lt;i&gt;",Main!I136,"pt, tracking ",Main!J136,", ",Main!K136," line(s)&lt;/i&gt;&lt;/div&gt;&lt;div class=""",Main!N136,""" style='width:",Main!M136,"px; height:",Main!L136,"px'&gt;",Main!H136,"&lt;/div&gt;&lt;br&gt;",IF(Main!A137="","&lt;/body&gt;
&lt;/html&gt;","")),"")</f>
        <v/>
      </c>
      <c r="I134" t="str">
        <f t="shared" si="2"/>
        <v/>
      </c>
    </row>
    <row r="135" spans="1:9" x14ac:dyDescent="0.25">
      <c r="A135" s="1" t="str">
        <f>IF(Main!A137&lt;&gt;"",CONCATENATE("&lt;div class='String_ID_ISSUE'&gt;&lt;b&gt;ID: ",Main!A137,"&lt;/b&gt; - &lt;i&gt;",Main!I137,"pt, tracking ",Main!J137,", ",Main!K137," line(s)&lt;/i&gt;&lt;/div&gt;&lt;div class=""",Main!N137,""" style='width:",Main!M137,"px; height:",Main!L137,"px'&gt;",Main!H137,"&lt;/div&gt;&lt;br&gt;",IF(Main!A138="","&lt;/body&gt;
&lt;/html&gt;","")),"")</f>
        <v/>
      </c>
      <c r="I135" t="str">
        <f t="shared" si="2"/>
        <v/>
      </c>
    </row>
    <row r="136" spans="1:9" x14ac:dyDescent="0.25">
      <c r="A136" s="1" t="str">
        <f>IF(Main!A138&lt;&gt;"",CONCATENATE("&lt;div class='String_ID_ISSUE'&gt;&lt;b&gt;ID: ",Main!A138,"&lt;/b&gt; - &lt;i&gt;",Main!I138,"pt, tracking ",Main!J138,", ",Main!K138," line(s)&lt;/i&gt;&lt;/div&gt;&lt;div class=""",Main!N138,""" style='width:",Main!M138,"px; height:",Main!L138,"px'&gt;",Main!H138,"&lt;/div&gt;&lt;br&gt;",IF(Main!A139="","&lt;/body&gt;
&lt;/html&gt;","")),"")</f>
        <v/>
      </c>
      <c r="I136" t="str">
        <f t="shared" si="2"/>
        <v/>
      </c>
    </row>
    <row r="137" spans="1:9" x14ac:dyDescent="0.25">
      <c r="A137" s="1" t="str">
        <f>IF(Main!A139&lt;&gt;"",CONCATENATE("&lt;div class='String_ID_ISSUE'&gt;&lt;b&gt;ID: ",Main!A139,"&lt;/b&gt; - &lt;i&gt;",Main!I139,"pt, tracking ",Main!J139,", ",Main!K139," line(s)&lt;/i&gt;&lt;/div&gt;&lt;div class=""",Main!N139,""" style='width:",Main!M139,"px; height:",Main!L139,"px'&gt;",Main!H139,"&lt;/div&gt;&lt;br&gt;",IF(Main!A140="","&lt;/body&gt;
&lt;/html&gt;","")),"")</f>
        <v/>
      </c>
      <c r="I137" t="str">
        <f t="shared" si="2"/>
        <v/>
      </c>
    </row>
    <row r="138" spans="1:9" x14ac:dyDescent="0.25">
      <c r="A138" s="1" t="str">
        <f>IF(Main!A140&lt;&gt;"",CONCATENATE("&lt;div class='String_ID_ISSUE'&gt;&lt;b&gt;ID: ",Main!A140,"&lt;/b&gt; - &lt;i&gt;",Main!I140,"pt, tracking ",Main!J140,", ",Main!K140," line(s)&lt;/i&gt;&lt;/div&gt;&lt;div class=""",Main!N140,""" style='width:",Main!M140,"px; height:",Main!L140,"px'&gt;",Main!H140,"&lt;/div&gt;&lt;br&gt;",IF(Main!A141="","&lt;/body&gt;
&lt;/html&gt;","")),"")</f>
        <v/>
      </c>
      <c r="I138" t="str">
        <f t="shared" si="2"/>
        <v/>
      </c>
    </row>
    <row r="139" spans="1:9" x14ac:dyDescent="0.25">
      <c r="A139" s="1" t="str">
        <f>IF(Main!A141&lt;&gt;"",CONCATENATE("&lt;div class='String_ID_ISSUE'&gt;&lt;b&gt;ID: ",Main!A141,"&lt;/b&gt; - &lt;i&gt;",Main!I141,"pt, tracking ",Main!J141,", ",Main!K141," line(s)&lt;/i&gt;&lt;/div&gt;&lt;div class=""",Main!N141,""" style='width:",Main!M141,"px; height:",Main!L141,"px'&gt;",Main!H141,"&lt;/div&gt;&lt;br&gt;",IF(Main!A142="","&lt;/body&gt;
&lt;/html&gt;","")),"")</f>
        <v/>
      </c>
      <c r="I139" t="str">
        <f t="shared" si="2"/>
        <v/>
      </c>
    </row>
    <row r="140" spans="1:9" x14ac:dyDescent="0.25">
      <c r="A140" s="1" t="str">
        <f>IF(Main!A142&lt;&gt;"",CONCATENATE("&lt;div class='String_ID_ISSUE'&gt;&lt;b&gt;ID: ",Main!A142,"&lt;/b&gt; - &lt;i&gt;",Main!I142,"pt, tracking ",Main!J142,", ",Main!K142," line(s)&lt;/i&gt;&lt;/div&gt;&lt;div class=""",Main!N142,""" style='width:",Main!M142,"px; height:",Main!L142,"px'&gt;",Main!H142,"&lt;/div&gt;&lt;br&gt;",IF(Main!A143="","&lt;/body&gt;
&lt;/html&gt;","")),"")</f>
        <v/>
      </c>
      <c r="I140" t="str">
        <f t="shared" si="2"/>
        <v/>
      </c>
    </row>
    <row r="141" spans="1:9" x14ac:dyDescent="0.25">
      <c r="A141" s="1" t="str">
        <f>IF(Main!A143&lt;&gt;"",CONCATENATE("&lt;div class='String_ID_ISSUE'&gt;&lt;b&gt;ID: ",Main!A143,"&lt;/b&gt; - &lt;i&gt;",Main!I143,"pt, tracking ",Main!J143,", ",Main!K143," line(s)&lt;/i&gt;&lt;/div&gt;&lt;div class=""",Main!N143,""" style='width:",Main!M143,"px; height:",Main!L143,"px'&gt;",Main!H143,"&lt;/div&gt;&lt;br&gt;",IF(Main!A144="","&lt;/body&gt;
&lt;/html&gt;","")),"")</f>
        <v/>
      </c>
      <c r="I141" t="str">
        <f t="shared" si="2"/>
        <v/>
      </c>
    </row>
    <row r="142" spans="1:9" x14ac:dyDescent="0.25">
      <c r="A142" s="1" t="str">
        <f>IF(Main!A144&lt;&gt;"",CONCATENATE("&lt;div class='String_ID_ISSUE'&gt;&lt;b&gt;ID: ",Main!A144,"&lt;/b&gt; - &lt;i&gt;",Main!I144,"pt, tracking ",Main!J144,", ",Main!K144," line(s)&lt;/i&gt;&lt;/div&gt;&lt;div class=""",Main!N144,""" style='width:",Main!M144,"px; height:",Main!L144,"px'&gt;",Main!H144,"&lt;/div&gt;&lt;br&gt;",IF(Main!A145="","&lt;/body&gt;
&lt;/html&gt;","")),"")</f>
        <v/>
      </c>
      <c r="I142" t="str">
        <f t="shared" si="2"/>
        <v/>
      </c>
    </row>
    <row r="143" spans="1:9" x14ac:dyDescent="0.25">
      <c r="A143" s="1" t="str">
        <f>IF(Main!A145&lt;&gt;"",CONCATENATE("&lt;div class='String_ID_ISSUE'&gt;&lt;b&gt;ID: ",Main!A145,"&lt;/b&gt; - &lt;i&gt;",Main!I145,"pt, tracking ",Main!J145,", ",Main!K145," line(s)&lt;/i&gt;&lt;/div&gt;&lt;div class=""",Main!N145,""" style='width:",Main!M145,"px; height:",Main!L145,"px'&gt;",Main!H145,"&lt;/div&gt;&lt;br&gt;",IF(Main!A146="","&lt;/body&gt;
&lt;/html&gt;","")),"")</f>
        <v/>
      </c>
      <c r="I143" t="str">
        <f t="shared" si="2"/>
        <v/>
      </c>
    </row>
    <row r="144" spans="1:9" x14ac:dyDescent="0.25">
      <c r="A144" s="1" t="str">
        <f>IF(Main!A146&lt;&gt;"",CONCATENATE("&lt;div class='String_ID_ISSUE'&gt;&lt;b&gt;ID: ",Main!A146,"&lt;/b&gt; - &lt;i&gt;",Main!I146,"pt, tracking ",Main!J146,", ",Main!K146," line(s)&lt;/i&gt;&lt;/div&gt;&lt;div class=""",Main!N146,""" style='width:",Main!M146,"px; height:",Main!L146,"px'&gt;",Main!H146,"&lt;/div&gt;&lt;br&gt;",IF(Main!A147="","&lt;/body&gt;
&lt;/html&gt;","")),"")</f>
        <v/>
      </c>
      <c r="I144" t="str">
        <f t="shared" si="2"/>
        <v/>
      </c>
    </row>
    <row r="145" spans="1:9" x14ac:dyDescent="0.25">
      <c r="A145" s="1" t="str">
        <f>IF(Main!A147&lt;&gt;"",CONCATENATE("&lt;div class='String_ID_ISSUE'&gt;&lt;b&gt;ID: ",Main!A147,"&lt;/b&gt; - &lt;i&gt;",Main!I147,"pt, tracking ",Main!J147,", ",Main!K147," line(s)&lt;/i&gt;&lt;/div&gt;&lt;div class=""",Main!N147,""" style='width:",Main!M147,"px; height:",Main!L147,"px'&gt;",Main!H147,"&lt;/div&gt;&lt;br&gt;",IF(Main!A148="","&lt;/body&gt;
&lt;/html&gt;","")),"")</f>
        <v/>
      </c>
      <c r="I145" t="str">
        <f t="shared" si="2"/>
        <v/>
      </c>
    </row>
    <row r="146" spans="1:9" x14ac:dyDescent="0.25">
      <c r="A146" s="1" t="str">
        <f>IF(Main!A148&lt;&gt;"",CONCATENATE("&lt;div class='String_ID_ISSUE'&gt;&lt;b&gt;ID: ",Main!A148,"&lt;/b&gt; - &lt;i&gt;",Main!I148,"pt, tracking ",Main!J148,", ",Main!K148," line(s)&lt;/i&gt;&lt;/div&gt;&lt;div class=""",Main!N148,""" style='width:",Main!M148,"px; height:",Main!L148,"px'&gt;",Main!H148,"&lt;/div&gt;&lt;br&gt;",IF(Main!A149="","&lt;/body&gt;
&lt;/html&gt;","")),"")</f>
        <v/>
      </c>
      <c r="I146" t="str">
        <f t="shared" si="2"/>
        <v/>
      </c>
    </row>
    <row r="147" spans="1:9" x14ac:dyDescent="0.25">
      <c r="A147" s="1" t="str">
        <f>IF(Main!A149&lt;&gt;"",CONCATENATE("&lt;div class='String_ID_ISSUE'&gt;&lt;b&gt;ID: ",Main!A149,"&lt;/b&gt; - &lt;i&gt;",Main!I149,"pt, tracking ",Main!J149,", ",Main!K149," line(s)&lt;/i&gt;&lt;/div&gt;&lt;div class=""",Main!N149,""" style='width:",Main!M149,"px; height:",Main!L149,"px'&gt;",Main!H149,"&lt;/div&gt;&lt;br&gt;",IF(Main!A150="","&lt;/body&gt;
&lt;/html&gt;","")),"")</f>
        <v/>
      </c>
      <c r="I147" t="str">
        <f t="shared" si="2"/>
        <v/>
      </c>
    </row>
    <row r="148" spans="1:9" x14ac:dyDescent="0.25">
      <c r="A148" s="1" t="str">
        <f>IF(Main!A150&lt;&gt;"",CONCATENATE("&lt;div class='String_ID_ISSUE'&gt;&lt;b&gt;ID: ",Main!A150,"&lt;/b&gt; - &lt;i&gt;",Main!I150,"pt, tracking ",Main!J150,", ",Main!K150," line(s)&lt;/i&gt;&lt;/div&gt;&lt;div class=""",Main!N150,""" style='width:",Main!M150,"px; height:",Main!L150,"px'&gt;",Main!H150,"&lt;/div&gt;&lt;br&gt;",IF(Main!A151="","&lt;/body&gt;
&lt;/html&gt;","")),"")</f>
        <v/>
      </c>
      <c r="I148" t="str">
        <f t="shared" si="2"/>
        <v/>
      </c>
    </row>
    <row r="149" spans="1:9" x14ac:dyDescent="0.25">
      <c r="A149" s="1" t="str">
        <f>IF(Main!A151&lt;&gt;"",CONCATENATE("&lt;div class='String_ID_ISSUE'&gt;&lt;b&gt;ID: ",Main!A151,"&lt;/b&gt; - &lt;i&gt;",Main!I151,"pt, tracking ",Main!J151,", ",Main!K151," line(s)&lt;/i&gt;&lt;/div&gt;&lt;div class=""",Main!N151,""" style='width:",Main!M151,"px; height:",Main!L151,"px'&gt;",Main!H151,"&lt;/div&gt;&lt;br&gt;",IF(Main!A152="","&lt;/body&gt;
&lt;/html&gt;","")),"")</f>
        <v/>
      </c>
      <c r="I149" t="str">
        <f t="shared" si="2"/>
        <v/>
      </c>
    </row>
    <row r="150" spans="1:9" x14ac:dyDescent="0.25">
      <c r="A150" s="1" t="str">
        <f>IF(Main!A152&lt;&gt;"",CONCATENATE("&lt;div class='String_ID_ISSUE'&gt;&lt;b&gt;ID: ",Main!A152,"&lt;/b&gt; - &lt;i&gt;",Main!I152,"pt, tracking ",Main!J152,", ",Main!K152," line(s)&lt;/i&gt;&lt;/div&gt;&lt;div class=""",Main!N152,""" style='width:",Main!M152,"px; height:",Main!L152,"px'&gt;",Main!H152,"&lt;/div&gt;&lt;br&gt;",IF(Main!A153="","&lt;/body&gt;
&lt;/html&gt;","")),"")</f>
        <v/>
      </c>
      <c r="I150" t="str">
        <f t="shared" si="2"/>
        <v/>
      </c>
    </row>
    <row r="151" spans="1:9" x14ac:dyDescent="0.25">
      <c r="A151" s="1" t="str">
        <f>IF(Main!A153&lt;&gt;"",CONCATENATE("&lt;div class='String_ID_ISSUE'&gt;&lt;b&gt;ID: ",Main!A153,"&lt;/b&gt; - &lt;i&gt;",Main!I153,"pt, tracking ",Main!J153,", ",Main!K153," line(s)&lt;/i&gt;&lt;/div&gt;&lt;div class=""",Main!N153,""" style='width:",Main!M153,"px; height:",Main!L153,"px'&gt;",Main!H153,"&lt;/div&gt;&lt;br&gt;",IF(Main!A154="","&lt;/body&gt;
&lt;/html&gt;","")),"")</f>
        <v/>
      </c>
      <c r="I151" t="str">
        <f t="shared" si="2"/>
        <v/>
      </c>
    </row>
    <row r="152" spans="1:9" x14ac:dyDescent="0.25">
      <c r="A152" s="1" t="str">
        <f>IF(Main!A154&lt;&gt;"",CONCATENATE("&lt;div class='String_ID_ISSUE'&gt;&lt;b&gt;ID: ",Main!A154,"&lt;/b&gt; - &lt;i&gt;",Main!I154,"pt, tracking ",Main!J154,", ",Main!K154," line(s)&lt;/i&gt;&lt;/div&gt;&lt;div class=""",Main!N154,""" style='width:",Main!M154,"px; height:",Main!L154,"px'&gt;",Main!H154,"&lt;/div&gt;&lt;br&gt;",IF(Main!A155="","&lt;/body&gt;
&lt;/html&gt;","")),"")</f>
        <v/>
      </c>
      <c r="I152" t="str">
        <f t="shared" si="2"/>
        <v/>
      </c>
    </row>
    <row r="153" spans="1:9" x14ac:dyDescent="0.25">
      <c r="A153" s="1" t="str">
        <f>IF(Main!A155&lt;&gt;"",CONCATENATE("&lt;div class='String_ID_ISSUE'&gt;&lt;b&gt;ID: ",Main!A155,"&lt;/b&gt; - &lt;i&gt;",Main!I155,"pt, tracking ",Main!J155,", ",Main!K155," line(s)&lt;/i&gt;&lt;/div&gt;&lt;div class=""",Main!N155,""" style='width:",Main!M155,"px; height:",Main!L155,"px'&gt;",Main!H155,"&lt;/div&gt;&lt;br&gt;",IF(Main!A156="","&lt;/body&gt;
&lt;/html&gt;","")),"")</f>
        <v/>
      </c>
      <c r="I153" t="str">
        <f t="shared" si="2"/>
        <v/>
      </c>
    </row>
    <row r="154" spans="1:9" x14ac:dyDescent="0.25">
      <c r="A154" s="1" t="str">
        <f>IF(Main!A156&lt;&gt;"",CONCATENATE("&lt;div class='String_ID_ISSUE'&gt;&lt;b&gt;ID: ",Main!A156,"&lt;/b&gt; - &lt;i&gt;",Main!I156,"pt, tracking ",Main!J156,", ",Main!K156," line(s)&lt;/i&gt;&lt;/div&gt;&lt;div class=""",Main!N156,""" style='width:",Main!M156,"px; height:",Main!L156,"px'&gt;",Main!H156,"&lt;/div&gt;&lt;br&gt;",IF(Main!A157="","&lt;/body&gt;
&lt;/html&gt;","")),"")</f>
        <v/>
      </c>
      <c r="I154" t="str">
        <f t="shared" si="2"/>
        <v/>
      </c>
    </row>
    <row r="155" spans="1:9" x14ac:dyDescent="0.25">
      <c r="A155" s="1" t="str">
        <f>IF(Main!A157&lt;&gt;"",CONCATENATE("&lt;div class='String_ID_ISSUE'&gt;&lt;b&gt;ID: ",Main!A157,"&lt;/b&gt; - &lt;i&gt;",Main!I157,"pt, tracking ",Main!J157,", ",Main!K157," line(s)&lt;/i&gt;&lt;/div&gt;&lt;div class=""",Main!N157,""" style='width:",Main!M157,"px; height:",Main!L157,"px'&gt;",Main!H157,"&lt;/div&gt;&lt;br&gt;",IF(Main!A158="","&lt;/body&gt;
&lt;/html&gt;","")),"")</f>
        <v/>
      </c>
      <c r="I155" t="str">
        <f t="shared" si="2"/>
        <v/>
      </c>
    </row>
    <row r="156" spans="1:9" x14ac:dyDescent="0.25">
      <c r="A156" s="1" t="str">
        <f>IF(Main!A158&lt;&gt;"",CONCATENATE("&lt;div class='String_ID_ISSUE'&gt;&lt;b&gt;ID: ",Main!A158,"&lt;/b&gt; - &lt;i&gt;",Main!I158,"pt, tracking ",Main!J158,", ",Main!K158," line(s)&lt;/i&gt;&lt;/div&gt;&lt;div class=""",Main!N158,""" style='width:",Main!M158,"px; height:",Main!L158,"px'&gt;",Main!H158,"&lt;/div&gt;&lt;br&gt;",IF(Main!A159="","&lt;/body&gt;
&lt;/html&gt;","")),"")</f>
        <v/>
      </c>
      <c r="I156" t="str">
        <f t="shared" si="2"/>
        <v/>
      </c>
    </row>
    <row r="157" spans="1:9" x14ac:dyDescent="0.25">
      <c r="A157" s="1" t="str">
        <f>IF(Main!A159&lt;&gt;"",CONCATENATE("&lt;div class='String_ID_ISSUE'&gt;&lt;b&gt;ID: ",Main!A159,"&lt;/b&gt; - &lt;i&gt;",Main!I159,"pt, tracking ",Main!J159,", ",Main!K159," line(s)&lt;/i&gt;&lt;/div&gt;&lt;div class=""",Main!N159,""" style='width:",Main!M159,"px; height:",Main!L159,"px'&gt;",Main!H159,"&lt;/div&gt;&lt;br&gt;",IF(Main!A160="","&lt;/body&gt;
&lt;/html&gt;","")),"")</f>
        <v/>
      </c>
      <c r="I157" t="str">
        <f t="shared" si="2"/>
        <v/>
      </c>
    </row>
    <row r="158" spans="1:9" x14ac:dyDescent="0.25">
      <c r="A158" s="1" t="str">
        <f>IF(Main!A160&lt;&gt;"",CONCATENATE("&lt;div class='String_ID_ISSUE'&gt;&lt;b&gt;ID: ",Main!A160,"&lt;/b&gt; - &lt;i&gt;",Main!I160,"pt, tracking ",Main!J160,", ",Main!K160," line(s)&lt;/i&gt;&lt;/div&gt;&lt;div class=""",Main!N160,""" style='width:",Main!M160,"px; height:",Main!L160,"px'&gt;",Main!H160,"&lt;/div&gt;&lt;br&gt;",IF(Main!A161="","&lt;/body&gt;
&lt;/html&gt;","")),"")</f>
        <v/>
      </c>
      <c r="I158" t="str">
        <f t="shared" si="2"/>
        <v/>
      </c>
    </row>
    <row r="159" spans="1:9" x14ac:dyDescent="0.25">
      <c r="A159" s="1" t="str">
        <f>IF(Main!A161&lt;&gt;"",CONCATENATE("&lt;div class='String_ID_ISSUE'&gt;&lt;b&gt;ID: ",Main!A161,"&lt;/b&gt; - &lt;i&gt;",Main!I161,"pt, tracking ",Main!J161,", ",Main!K161," line(s)&lt;/i&gt;&lt;/div&gt;&lt;div class=""",Main!N161,""" style='width:",Main!M161,"px; height:",Main!L161,"px'&gt;",Main!H161,"&lt;/div&gt;&lt;br&gt;",IF(Main!A162="","&lt;/body&gt;
&lt;/html&gt;","")),"")</f>
        <v/>
      </c>
      <c r="I159" t="str">
        <f t="shared" si="2"/>
        <v/>
      </c>
    </row>
    <row r="160" spans="1:9" x14ac:dyDescent="0.25">
      <c r="A160" s="1" t="str">
        <f>IF(Main!A162&lt;&gt;"",CONCATENATE("&lt;div class='String_ID_ISSUE'&gt;&lt;b&gt;ID: ",Main!A162,"&lt;/b&gt; - &lt;i&gt;",Main!I162,"pt, tracking ",Main!J162,", ",Main!K162," line(s)&lt;/i&gt;&lt;/div&gt;&lt;div class=""",Main!N162,""" style='width:",Main!M162,"px; height:",Main!L162,"px'&gt;",Main!H162,"&lt;/div&gt;&lt;br&gt;",IF(Main!A163="","&lt;/body&gt;
&lt;/html&gt;","")),"")</f>
        <v/>
      </c>
      <c r="I160" t="str">
        <f t="shared" si="2"/>
        <v/>
      </c>
    </row>
    <row r="161" spans="1:9" x14ac:dyDescent="0.25">
      <c r="A161" s="1" t="str">
        <f>IF(Main!A163&lt;&gt;"",CONCATENATE("&lt;div class='String_ID_ISSUE'&gt;&lt;b&gt;ID: ",Main!A163,"&lt;/b&gt; - &lt;i&gt;",Main!I163,"pt, tracking ",Main!J163,", ",Main!K163," line(s)&lt;/i&gt;&lt;/div&gt;&lt;div class=""",Main!N163,""" style='width:",Main!M163,"px; height:",Main!L163,"px'&gt;",Main!H163,"&lt;/div&gt;&lt;br&gt;",IF(Main!A164="","&lt;/body&gt;
&lt;/html&gt;","")),"")</f>
        <v/>
      </c>
      <c r="I161" t="str">
        <f t="shared" si="2"/>
        <v/>
      </c>
    </row>
    <row r="162" spans="1:9" x14ac:dyDescent="0.25">
      <c r="A162" s="1" t="str">
        <f>IF(Main!A164&lt;&gt;"",CONCATENATE("&lt;div class='String_ID_ISSUE'&gt;&lt;b&gt;ID: ",Main!A164,"&lt;/b&gt; - &lt;i&gt;",Main!I164,"pt, tracking ",Main!J164,", ",Main!K164," line(s)&lt;/i&gt;&lt;/div&gt;&lt;div class=""",Main!N164,""" style='width:",Main!M164,"px; height:",Main!L164,"px'&gt;",Main!H164,"&lt;/div&gt;&lt;br&gt;",IF(Main!A165="","&lt;/body&gt;
&lt;/html&gt;","")),"")</f>
        <v/>
      </c>
      <c r="I162" t="str">
        <f t="shared" si="2"/>
        <v/>
      </c>
    </row>
    <row r="163" spans="1:9" x14ac:dyDescent="0.25">
      <c r="A163" s="1" t="str">
        <f>IF(Main!A165&lt;&gt;"",CONCATENATE("&lt;div class='String_ID_ISSUE'&gt;&lt;b&gt;ID: ",Main!A165,"&lt;/b&gt; - &lt;i&gt;",Main!I165,"pt, tracking ",Main!J165,", ",Main!K165," line(s)&lt;/i&gt;&lt;/div&gt;&lt;div class=""",Main!N165,""" style='width:",Main!M165,"px; height:",Main!L165,"px'&gt;",Main!H165,"&lt;/div&gt;&lt;br&gt;",IF(Main!A166="","&lt;/body&gt;
&lt;/html&gt;","")),"")</f>
        <v/>
      </c>
      <c r="I163" t="str">
        <f t="shared" si="2"/>
        <v/>
      </c>
    </row>
    <row r="164" spans="1:9" x14ac:dyDescent="0.25">
      <c r="A164" s="1" t="str">
        <f>IF(Main!A166&lt;&gt;"",CONCATENATE("&lt;div class='String_ID_ISSUE'&gt;&lt;b&gt;ID: ",Main!A166,"&lt;/b&gt; - &lt;i&gt;",Main!I166,"pt, tracking ",Main!J166,", ",Main!K166," line(s)&lt;/i&gt;&lt;/div&gt;&lt;div class=""",Main!N166,""" style='width:",Main!M166,"px; height:",Main!L166,"px'&gt;",Main!H166,"&lt;/div&gt;&lt;br&gt;",IF(Main!A167="","&lt;/body&gt;
&lt;/html&gt;","")),"")</f>
        <v/>
      </c>
      <c r="I164" t="str">
        <f t="shared" si="2"/>
        <v/>
      </c>
    </row>
    <row r="165" spans="1:9" x14ac:dyDescent="0.25">
      <c r="A165" s="1" t="str">
        <f>IF(Main!A167&lt;&gt;"",CONCATENATE("&lt;div class='String_ID_ISSUE'&gt;&lt;b&gt;ID: ",Main!A167,"&lt;/b&gt; - &lt;i&gt;",Main!I167,"pt, tracking ",Main!J167,", ",Main!K167," line(s)&lt;/i&gt;&lt;/div&gt;&lt;div class=""",Main!N167,""" style='width:",Main!M167,"px; height:",Main!L167,"px'&gt;",Main!H167,"&lt;/div&gt;&lt;br&gt;",IF(Main!A168="","&lt;/body&gt;
&lt;/html&gt;","")),"")</f>
        <v/>
      </c>
      <c r="I165" t="str">
        <f t="shared" si="2"/>
        <v/>
      </c>
    </row>
    <row r="166" spans="1:9" x14ac:dyDescent="0.25">
      <c r="A166" s="1" t="str">
        <f>IF(Main!A168&lt;&gt;"",CONCATENATE("&lt;div class='String_ID_ISSUE'&gt;&lt;b&gt;ID: ",Main!A168,"&lt;/b&gt; - &lt;i&gt;",Main!I168,"pt, tracking ",Main!J168,", ",Main!K168," line(s)&lt;/i&gt;&lt;/div&gt;&lt;div class=""",Main!N168,""" style='width:",Main!M168,"px; height:",Main!L168,"px'&gt;",Main!H168,"&lt;/div&gt;&lt;br&gt;",IF(Main!A169="","&lt;/body&gt;
&lt;/html&gt;","")),"")</f>
        <v/>
      </c>
      <c r="I166" t="str">
        <f t="shared" si="2"/>
        <v/>
      </c>
    </row>
    <row r="167" spans="1:9" x14ac:dyDescent="0.25">
      <c r="A167" s="1" t="str">
        <f>IF(Main!A169&lt;&gt;"",CONCATENATE("&lt;div class='String_ID_ISSUE'&gt;&lt;b&gt;ID: ",Main!A169,"&lt;/b&gt; - &lt;i&gt;",Main!I169,"pt, tracking ",Main!J169,", ",Main!K169," line(s)&lt;/i&gt;&lt;/div&gt;&lt;div class=""",Main!N169,""" style='width:",Main!M169,"px; height:",Main!L169,"px'&gt;",Main!H169,"&lt;/div&gt;&lt;br&gt;",IF(Main!A170="","&lt;/body&gt;
&lt;/html&gt;","")),"")</f>
        <v/>
      </c>
      <c r="I167" t="str">
        <f t="shared" si="2"/>
        <v/>
      </c>
    </row>
    <row r="168" spans="1:9" x14ac:dyDescent="0.25">
      <c r="A168" s="1" t="str">
        <f>IF(Main!A170&lt;&gt;"",CONCATENATE("&lt;div class='String_ID_ISSUE'&gt;&lt;b&gt;ID: ",Main!A170,"&lt;/b&gt; - &lt;i&gt;",Main!I170,"pt, tracking ",Main!J170,", ",Main!K170," line(s)&lt;/i&gt;&lt;/div&gt;&lt;div class=""",Main!N170,""" style='width:",Main!M170,"px; height:",Main!L170,"px'&gt;",Main!H170,"&lt;/div&gt;&lt;br&gt;",IF(Main!A171="","&lt;/body&gt;
&lt;/html&gt;","")),"")</f>
        <v/>
      </c>
      <c r="I168" t="str">
        <f t="shared" si="2"/>
        <v/>
      </c>
    </row>
    <row r="169" spans="1:9" x14ac:dyDescent="0.25">
      <c r="A169" s="1" t="str">
        <f>IF(Main!A171&lt;&gt;"",CONCATENATE("&lt;div class='String_ID_ISSUE'&gt;&lt;b&gt;ID: ",Main!A171,"&lt;/b&gt; - &lt;i&gt;",Main!I171,"pt, tracking ",Main!J171,", ",Main!K171," line(s)&lt;/i&gt;&lt;/div&gt;&lt;div class=""",Main!N171,""" style='width:",Main!M171,"px; height:",Main!L171,"px'&gt;",Main!H171,"&lt;/div&gt;&lt;br&gt;",IF(Main!A172="","&lt;/body&gt;
&lt;/html&gt;","")),"")</f>
        <v/>
      </c>
      <c r="I169" t="str">
        <f t="shared" si="2"/>
        <v/>
      </c>
    </row>
    <row r="170" spans="1:9" x14ac:dyDescent="0.25">
      <c r="A170" s="1" t="str">
        <f>IF(Main!A172&lt;&gt;"",CONCATENATE("&lt;div class='String_ID_ISSUE'&gt;&lt;b&gt;ID: ",Main!A172,"&lt;/b&gt; - &lt;i&gt;",Main!I172,"pt, tracking ",Main!J172,", ",Main!K172," line(s)&lt;/i&gt;&lt;/div&gt;&lt;div class=""",Main!N172,""" style='width:",Main!M172,"px; height:",Main!L172,"px'&gt;",Main!H172,"&lt;/div&gt;&lt;br&gt;",IF(Main!A173="","&lt;/body&gt;
&lt;/html&gt;","")),"")</f>
        <v/>
      </c>
      <c r="I170" t="str">
        <f t="shared" si="2"/>
        <v/>
      </c>
    </row>
    <row r="171" spans="1:9" x14ac:dyDescent="0.25">
      <c r="A171" s="1" t="str">
        <f>IF(Main!A173&lt;&gt;"",CONCATENATE("&lt;div class='String_ID_ISSUE'&gt;&lt;b&gt;ID: ",Main!A173,"&lt;/b&gt; - &lt;i&gt;",Main!I173,"pt, tracking ",Main!J173,", ",Main!K173," line(s)&lt;/i&gt;&lt;/div&gt;&lt;div class=""",Main!N173,""" style='width:",Main!M173,"px; height:",Main!L173,"px'&gt;",Main!H173,"&lt;/div&gt;&lt;br&gt;",IF(Main!A174="","&lt;/body&gt;
&lt;/html&gt;","")),"")</f>
        <v/>
      </c>
      <c r="I171" t="str">
        <f t="shared" si="2"/>
        <v/>
      </c>
    </row>
    <row r="172" spans="1:9" x14ac:dyDescent="0.25">
      <c r="A172" s="1" t="str">
        <f>IF(Main!A174&lt;&gt;"",CONCATENATE("&lt;div class='String_ID_ISSUE'&gt;&lt;b&gt;ID: ",Main!A174,"&lt;/b&gt; - &lt;i&gt;",Main!I174,"pt, tracking ",Main!J174,", ",Main!K174," line(s)&lt;/i&gt;&lt;/div&gt;&lt;div class=""",Main!N174,""" style='width:",Main!M174,"px; height:",Main!L174,"px'&gt;",Main!H174,"&lt;/div&gt;&lt;br&gt;",IF(Main!A175="","&lt;/body&gt;
&lt;/html&gt;","")),"")</f>
        <v/>
      </c>
      <c r="I172" t="str">
        <f t="shared" si="2"/>
        <v/>
      </c>
    </row>
    <row r="173" spans="1:9" x14ac:dyDescent="0.25">
      <c r="A173" s="1" t="str">
        <f>IF(Main!A175&lt;&gt;"",CONCATENATE("&lt;div class='String_ID_ISSUE'&gt;&lt;b&gt;ID: ",Main!A175,"&lt;/b&gt; - &lt;i&gt;",Main!I175,"pt, tracking ",Main!J175,", ",Main!K175," line(s)&lt;/i&gt;&lt;/div&gt;&lt;div class=""",Main!N175,""" style='width:",Main!M175,"px; height:",Main!L175,"px'&gt;",Main!H175,"&lt;/div&gt;&lt;br&gt;",IF(Main!A176="","&lt;/body&gt;
&lt;/html&gt;","")),"")</f>
        <v/>
      </c>
      <c r="I173" t="str">
        <f t="shared" si="2"/>
        <v/>
      </c>
    </row>
    <row r="174" spans="1:9" x14ac:dyDescent="0.25">
      <c r="A174" s="1" t="str">
        <f>IF(Main!A176&lt;&gt;"",CONCATENATE("&lt;div class='String_ID_ISSUE'&gt;&lt;b&gt;ID: ",Main!A176,"&lt;/b&gt; - &lt;i&gt;",Main!I176,"pt, tracking ",Main!J176,", ",Main!K176," line(s)&lt;/i&gt;&lt;/div&gt;&lt;div class=""",Main!N176,""" style='width:",Main!M176,"px; height:",Main!L176,"px'&gt;",Main!H176,"&lt;/div&gt;&lt;br&gt;",IF(Main!A177="","&lt;/body&gt;
&lt;/html&gt;","")),"")</f>
        <v/>
      </c>
      <c r="I174" t="str">
        <f t="shared" si="2"/>
        <v/>
      </c>
    </row>
    <row r="175" spans="1:9" x14ac:dyDescent="0.25">
      <c r="A175" s="1" t="str">
        <f>IF(Main!A177&lt;&gt;"",CONCATENATE("&lt;div class='String_ID_ISSUE'&gt;&lt;b&gt;ID: ",Main!A177,"&lt;/b&gt; - &lt;i&gt;",Main!I177,"pt, tracking ",Main!J177,", ",Main!K177," line(s)&lt;/i&gt;&lt;/div&gt;&lt;div class=""",Main!N177,""" style='width:",Main!M177,"px; height:",Main!L177,"px'&gt;",Main!H177,"&lt;/div&gt;&lt;br&gt;",IF(Main!A178="","&lt;/body&gt;
&lt;/html&gt;","")),"")</f>
        <v/>
      </c>
      <c r="I175" t="str">
        <f t="shared" si="2"/>
        <v/>
      </c>
    </row>
    <row r="176" spans="1:9" x14ac:dyDescent="0.25">
      <c r="A176" s="1" t="str">
        <f>IF(Main!A178&lt;&gt;"",CONCATENATE("&lt;div class='String_ID_ISSUE'&gt;&lt;b&gt;ID: ",Main!A178,"&lt;/b&gt; - &lt;i&gt;",Main!I178,"pt, tracking ",Main!J178,", ",Main!K178," line(s)&lt;/i&gt;&lt;/div&gt;&lt;div class=""",Main!N178,""" style='width:",Main!M178,"px; height:",Main!L178,"px'&gt;",Main!H178,"&lt;/div&gt;&lt;br&gt;",IF(Main!A179="","&lt;/body&gt;
&lt;/html&gt;","")),"")</f>
        <v/>
      </c>
      <c r="I176" t="str">
        <f t="shared" si="2"/>
        <v/>
      </c>
    </row>
    <row r="177" spans="1:9" x14ac:dyDescent="0.25">
      <c r="A177" s="1" t="str">
        <f>IF(Main!A179&lt;&gt;"",CONCATENATE("&lt;div class='String_ID_ISSUE'&gt;&lt;b&gt;ID: ",Main!A179,"&lt;/b&gt; - &lt;i&gt;",Main!I179,"pt, tracking ",Main!J179,", ",Main!K179," line(s)&lt;/i&gt;&lt;/div&gt;&lt;div class=""",Main!N179,""" style='width:",Main!M179,"px; height:",Main!L179,"px'&gt;",Main!H179,"&lt;/div&gt;&lt;br&gt;",IF(Main!A180="","&lt;/body&gt;
&lt;/html&gt;","")),"")</f>
        <v/>
      </c>
      <c r="I177" t="str">
        <f t="shared" si="2"/>
        <v/>
      </c>
    </row>
    <row r="178" spans="1:9" x14ac:dyDescent="0.25">
      <c r="A178" s="1" t="str">
        <f>IF(Main!A180&lt;&gt;"",CONCATENATE("&lt;div class='String_ID_ISSUE'&gt;&lt;b&gt;ID: ",Main!A180,"&lt;/b&gt; - &lt;i&gt;",Main!I180,"pt, tracking ",Main!J180,", ",Main!K180," line(s)&lt;/i&gt;&lt;/div&gt;&lt;div class=""",Main!N180,""" style='width:",Main!M180,"px; height:",Main!L180,"px'&gt;",Main!H180,"&lt;/div&gt;&lt;br&gt;",IF(Main!A181="","&lt;/body&gt;
&lt;/html&gt;","")),"")</f>
        <v/>
      </c>
      <c r="I178" t="str">
        <f t="shared" si="2"/>
        <v/>
      </c>
    </row>
    <row r="179" spans="1:9" x14ac:dyDescent="0.25">
      <c r="A179" s="1" t="str">
        <f>IF(Main!A181&lt;&gt;"",CONCATENATE("&lt;div class='String_ID_ISSUE'&gt;&lt;b&gt;ID: ",Main!A181,"&lt;/b&gt; - &lt;i&gt;",Main!I181,"pt, tracking ",Main!J181,", ",Main!K181," line(s)&lt;/i&gt;&lt;/div&gt;&lt;div class=""",Main!N181,""" style='width:",Main!M181,"px; height:",Main!L181,"px'&gt;",Main!H181,"&lt;/div&gt;&lt;br&gt;",IF(Main!A182="","&lt;/body&gt;
&lt;/html&gt;","")),"")</f>
        <v/>
      </c>
      <c r="I179" t="str">
        <f t="shared" si="2"/>
        <v/>
      </c>
    </row>
    <row r="180" spans="1:9" x14ac:dyDescent="0.25">
      <c r="A180" s="1" t="str">
        <f>IF(Main!A182&lt;&gt;"",CONCATENATE("&lt;div class='String_ID_ISSUE'&gt;&lt;b&gt;ID: ",Main!A182,"&lt;/b&gt; - &lt;i&gt;",Main!I182,"pt, tracking ",Main!J182,", ",Main!K182," line(s)&lt;/i&gt;&lt;/div&gt;&lt;div class=""",Main!N182,""" style='width:",Main!M182,"px; height:",Main!L182,"px'&gt;",Main!H182,"&lt;/div&gt;&lt;br&gt;",IF(Main!A183="","&lt;/body&gt;
&lt;/html&gt;","")),"")</f>
        <v/>
      </c>
      <c r="I180" t="str">
        <f t="shared" si="2"/>
        <v/>
      </c>
    </row>
    <row r="181" spans="1:9" x14ac:dyDescent="0.25">
      <c r="A181" s="1" t="str">
        <f>IF(Main!A183&lt;&gt;"",CONCATENATE("&lt;div class='String_ID_ISSUE'&gt;&lt;b&gt;ID: ",Main!A183,"&lt;/b&gt; - &lt;i&gt;",Main!I183,"pt, tracking ",Main!J183,", ",Main!K183," line(s)&lt;/i&gt;&lt;/div&gt;&lt;div class=""",Main!N183,""" style='width:",Main!M183,"px; height:",Main!L183,"px'&gt;",Main!H183,"&lt;/div&gt;&lt;br&gt;",IF(Main!A184="","&lt;/body&gt;
&lt;/html&gt;","")),"")</f>
        <v/>
      </c>
      <c r="I181" t="str">
        <f t="shared" si="2"/>
        <v/>
      </c>
    </row>
    <row r="182" spans="1:9" x14ac:dyDescent="0.25">
      <c r="A182" s="1" t="str">
        <f>IF(Main!A184&lt;&gt;"",CONCATENATE("&lt;div class='String_ID_ISSUE'&gt;&lt;b&gt;ID: ",Main!A184,"&lt;/b&gt; - &lt;i&gt;",Main!I184,"pt, tracking ",Main!J184,", ",Main!K184," line(s)&lt;/i&gt;&lt;/div&gt;&lt;div class=""",Main!N184,""" style='width:",Main!M184,"px; height:",Main!L184,"px'&gt;",Main!H184,"&lt;/div&gt;&lt;br&gt;",IF(Main!A185="","&lt;/body&gt;
&lt;/html&gt;","")),"")</f>
        <v/>
      </c>
      <c r="I182" t="str">
        <f t="shared" si="2"/>
        <v/>
      </c>
    </row>
    <row r="183" spans="1:9" x14ac:dyDescent="0.25">
      <c r="A183" s="1" t="str">
        <f>IF(Main!A185&lt;&gt;"",CONCATENATE("&lt;div class='String_ID_ISSUE'&gt;&lt;b&gt;ID: ",Main!A185,"&lt;/b&gt; - &lt;i&gt;",Main!I185,"pt, tracking ",Main!J185,", ",Main!K185," line(s)&lt;/i&gt;&lt;/div&gt;&lt;div class=""",Main!N185,""" style='width:",Main!M185,"px; height:",Main!L185,"px'&gt;",Main!H185,"&lt;/div&gt;&lt;br&gt;",IF(Main!A186="","&lt;/body&gt;
&lt;/html&gt;","")),"")</f>
        <v/>
      </c>
      <c r="I183" t="str">
        <f t="shared" si="2"/>
        <v/>
      </c>
    </row>
    <row r="184" spans="1:9" x14ac:dyDescent="0.25">
      <c r="A184" s="1" t="str">
        <f>IF(Main!A186&lt;&gt;"",CONCATENATE("&lt;div class='String_ID_ISSUE'&gt;&lt;b&gt;ID: ",Main!A186,"&lt;/b&gt; - &lt;i&gt;",Main!I186,"pt, tracking ",Main!J186,", ",Main!K186," line(s)&lt;/i&gt;&lt;/div&gt;&lt;div class=""",Main!N186,""" style='width:",Main!M186,"px; height:",Main!L186,"px'&gt;",Main!H186,"&lt;/div&gt;&lt;br&gt;",IF(Main!A187="","&lt;/body&gt;
&lt;/html&gt;","")),"")</f>
        <v/>
      </c>
      <c r="I184" t="str">
        <f t="shared" si="2"/>
        <v/>
      </c>
    </row>
    <row r="185" spans="1:9" x14ac:dyDescent="0.25">
      <c r="A185" s="1" t="str">
        <f>IF(Main!A187&lt;&gt;"",CONCATENATE("&lt;div class='String_ID_ISSUE'&gt;&lt;b&gt;ID: ",Main!A187,"&lt;/b&gt; - &lt;i&gt;",Main!I187,"pt, tracking ",Main!J187,", ",Main!K187," line(s)&lt;/i&gt;&lt;/div&gt;&lt;div class=""",Main!N187,""" style='width:",Main!M187,"px; height:",Main!L187,"px'&gt;",Main!H187,"&lt;/div&gt;&lt;br&gt;",IF(Main!A188="","&lt;/body&gt;
&lt;/html&gt;","")),"")</f>
        <v/>
      </c>
      <c r="I185" t="str">
        <f t="shared" si="2"/>
        <v/>
      </c>
    </row>
    <row r="186" spans="1:9" x14ac:dyDescent="0.25">
      <c r="A186" s="1" t="str">
        <f>IF(Main!A188&lt;&gt;"",CONCATENATE("&lt;div class='String_ID_ISSUE'&gt;&lt;b&gt;ID: ",Main!A188,"&lt;/b&gt; - &lt;i&gt;",Main!I188,"pt, tracking ",Main!J188,", ",Main!K188," line(s)&lt;/i&gt;&lt;/div&gt;&lt;div class=""",Main!N188,""" style='width:",Main!M188,"px; height:",Main!L188,"px'&gt;",Main!H188,"&lt;/div&gt;&lt;br&gt;",IF(Main!A189="","&lt;/body&gt;
&lt;/html&gt;","")),"")</f>
        <v/>
      </c>
      <c r="I186" t="str">
        <f t="shared" si="2"/>
        <v/>
      </c>
    </row>
    <row r="187" spans="1:9" x14ac:dyDescent="0.25">
      <c r="A187" s="1" t="str">
        <f>IF(Main!A189&lt;&gt;"",CONCATENATE("&lt;div class='String_ID_ISSUE'&gt;&lt;b&gt;ID: ",Main!A189,"&lt;/b&gt; - &lt;i&gt;",Main!I189,"pt, tracking ",Main!J189,", ",Main!K189," line(s)&lt;/i&gt;&lt;/div&gt;&lt;div class=""",Main!N189,""" style='width:",Main!M189,"px; height:",Main!L189,"px'&gt;",Main!H189,"&lt;/div&gt;&lt;br&gt;",IF(Main!A190="","&lt;/body&gt;
&lt;/html&gt;","")),"")</f>
        <v/>
      </c>
      <c r="I187" t="str">
        <f t="shared" si="2"/>
        <v/>
      </c>
    </row>
    <row r="188" spans="1:9" x14ac:dyDescent="0.25">
      <c r="A188" s="1" t="str">
        <f>IF(Main!A190&lt;&gt;"",CONCATENATE("&lt;div class='String_ID_ISSUE'&gt;&lt;b&gt;ID: ",Main!A190,"&lt;/b&gt; - &lt;i&gt;",Main!I190,"pt, tracking ",Main!J190,", ",Main!K190," line(s)&lt;/i&gt;&lt;/div&gt;&lt;div class=""",Main!N190,""" style='width:",Main!M190,"px; height:",Main!L190,"px'&gt;",Main!H190,"&lt;/div&gt;&lt;br&gt;",IF(Main!A191="","&lt;/body&gt;
&lt;/html&gt;","")),"")</f>
        <v/>
      </c>
      <c r="I188" t="str">
        <f t="shared" si="2"/>
        <v/>
      </c>
    </row>
    <row r="189" spans="1:9" x14ac:dyDescent="0.25">
      <c r="A189" s="1" t="str">
        <f>IF(Main!A191&lt;&gt;"",CONCATENATE("&lt;div class='String_ID_ISSUE'&gt;&lt;b&gt;ID: ",Main!A191,"&lt;/b&gt; - &lt;i&gt;",Main!I191,"pt, tracking ",Main!J191,", ",Main!K191," line(s)&lt;/i&gt;&lt;/div&gt;&lt;div class=""",Main!N191,""" style='width:",Main!M191,"px; height:",Main!L191,"px'&gt;",Main!H191,"&lt;/div&gt;&lt;br&gt;",IF(Main!A192="","&lt;/body&gt;
&lt;/html&gt;","")),"")</f>
        <v/>
      </c>
      <c r="I189" t="str">
        <f t="shared" si="2"/>
        <v/>
      </c>
    </row>
    <row r="190" spans="1:9" x14ac:dyDescent="0.25">
      <c r="A190" s="1" t="str">
        <f>IF(Main!A192&lt;&gt;"",CONCATENATE("&lt;div class='String_ID_ISSUE'&gt;&lt;b&gt;ID: ",Main!A192,"&lt;/b&gt; - &lt;i&gt;",Main!I192,"pt, tracking ",Main!J192,", ",Main!K192," line(s)&lt;/i&gt;&lt;/div&gt;&lt;div class=""",Main!N192,""" style='width:",Main!M192,"px; height:",Main!L192,"px'&gt;",Main!H192,"&lt;/div&gt;&lt;br&gt;",IF(Main!A193="","&lt;/body&gt;
&lt;/html&gt;","")),"")</f>
        <v/>
      </c>
      <c r="I190" t="str">
        <f t="shared" si="2"/>
        <v/>
      </c>
    </row>
    <row r="191" spans="1:9" x14ac:dyDescent="0.25">
      <c r="A191" s="1" t="str">
        <f>IF(Main!A193&lt;&gt;"",CONCATENATE("&lt;div class='String_ID_ISSUE'&gt;&lt;b&gt;ID: ",Main!A193,"&lt;/b&gt; - &lt;i&gt;",Main!I193,"pt, tracking ",Main!J193,", ",Main!K193," line(s)&lt;/i&gt;&lt;/div&gt;&lt;div class=""",Main!N193,""" style='width:",Main!M193,"px; height:",Main!L193,"px'&gt;",Main!H193,"&lt;/div&gt;&lt;br&gt;",IF(Main!A194="","&lt;/body&gt;
&lt;/html&gt;","")),"")</f>
        <v/>
      </c>
      <c r="I191" t="str">
        <f t="shared" si="2"/>
        <v/>
      </c>
    </row>
    <row r="192" spans="1:9" x14ac:dyDescent="0.25">
      <c r="A192" s="1" t="str">
        <f>IF(Main!A194&lt;&gt;"",CONCATENATE("&lt;div class='String_ID_ISSUE'&gt;&lt;b&gt;ID: ",Main!A194,"&lt;/b&gt; - &lt;i&gt;",Main!I194,"pt, tracking ",Main!J194,", ",Main!K194," line(s)&lt;/i&gt;&lt;/div&gt;&lt;div class=""",Main!N194,""" style='width:",Main!M194,"px; height:",Main!L194,"px'&gt;",Main!H194,"&lt;/div&gt;&lt;br&gt;",IF(Main!A195="","&lt;/body&gt;
&lt;/html&gt;","")),"")</f>
        <v/>
      </c>
      <c r="I192" t="str">
        <f t="shared" si="2"/>
        <v/>
      </c>
    </row>
    <row r="193" spans="1:9" x14ac:dyDescent="0.25">
      <c r="A193" s="1" t="str">
        <f>IF(Main!A195&lt;&gt;"",CONCATENATE("&lt;div class='String_ID_ISSUE'&gt;&lt;b&gt;ID: ",Main!A195,"&lt;/b&gt; - &lt;i&gt;",Main!I195,"pt, tracking ",Main!J195,", ",Main!K195," line(s)&lt;/i&gt;&lt;/div&gt;&lt;div class=""",Main!N195,""" style='width:",Main!M195,"px; height:",Main!L195,"px'&gt;",Main!H195,"&lt;/div&gt;&lt;br&gt;",IF(Main!A196="","&lt;/body&gt;
&lt;/html&gt;","")),"")</f>
        <v/>
      </c>
      <c r="I193" t="str">
        <f t="shared" si="2"/>
        <v/>
      </c>
    </row>
    <row r="194" spans="1:9" x14ac:dyDescent="0.25">
      <c r="A194" s="1" t="str">
        <f>IF(Main!A196&lt;&gt;"",CONCATENATE("&lt;div class='String_ID_ISSUE'&gt;&lt;b&gt;ID: ",Main!A196,"&lt;/b&gt; - &lt;i&gt;",Main!I196,"pt, tracking ",Main!J196,", ",Main!K196," line(s)&lt;/i&gt;&lt;/div&gt;&lt;div class=""",Main!N196,""" style='width:",Main!M196,"px; height:",Main!L196,"px'&gt;",Main!H196,"&lt;/div&gt;&lt;br&gt;",IF(Main!A197="","&lt;/body&gt;
&lt;/html&gt;","")),"")</f>
        <v/>
      </c>
      <c r="I194" t="str">
        <f t="shared" ref="I194:I202" si="3">IF(A195&lt;&gt;"",1,"")</f>
        <v/>
      </c>
    </row>
    <row r="195" spans="1:9" x14ac:dyDescent="0.25">
      <c r="A195" s="1" t="str">
        <f>IF(Main!A197&lt;&gt;"",CONCATENATE("&lt;div class='String_ID_ISSUE'&gt;&lt;b&gt;ID: ",Main!A197,"&lt;/b&gt; - &lt;i&gt;",Main!I197,"pt, tracking ",Main!J197,", ",Main!K197," line(s)&lt;/i&gt;&lt;/div&gt;&lt;div class=""",Main!N197,""" style='width:",Main!M197,"px; height:",Main!L197,"px'&gt;",Main!H197,"&lt;/div&gt;&lt;br&gt;",IF(Main!A198="","&lt;/body&gt;
&lt;/html&gt;","")),"")</f>
        <v/>
      </c>
      <c r="I195" t="str">
        <f t="shared" si="3"/>
        <v/>
      </c>
    </row>
    <row r="196" spans="1:9" x14ac:dyDescent="0.25">
      <c r="A196" s="1" t="str">
        <f>IF(Main!A198&lt;&gt;"",CONCATENATE("&lt;div class='String_ID_ISSUE'&gt;&lt;b&gt;ID: ",Main!A198,"&lt;/b&gt; - &lt;i&gt;",Main!I198,"pt, tracking ",Main!J198,", ",Main!K198," line(s)&lt;/i&gt;&lt;/div&gt;&lt;div class=""",Main!N198,""" style='width:",Main!M198,"px; height:",Main!L198,"px'&gt;",Main!H198,"&lt;/div&gt;&lt;br&gt;",IF(Main!A199="","&lt;/body&gt;
&lt;/html&gt;","")),"")</f>
        <v/>
      </c>
      <c r="I196" t="str">
        <f t="shared" si="3"/>
        <v/>
      </c>
    </row>
    <row r="197" spans="1:9" x14ac:dyDescent="0.25">
      <c r="A197" s="1" t="str">
        <f>IF(Main!A199&lt;&gt;"",CONCATENATE("&lt;div class='String_ID_ISSUE'&gt;&lt;b&gt;ID: ",Main!A199,"&lt;/b&gt; - &lt;i&gt;",Main!I199,"pt, tracking ",Main!J199,", ",Main!K199," line(s)&lt;/i&gt;&lt;/div&gt;&lt;div class=""",Main!N199,""" style='width:",Main!M199,"px; height:",Main!L199,"px'&gt;",Main!H199,"&lt;/div&gt;&lt;br&gt;",IF(Main!A200="","&lt;/body&gt;
&lt;/html&gt;","")),"")</f>
        <v/>
      </c>
      <c r="I197" t="str">
        <f t="shared" si="3"/>
        <v/>
      </c>
    </row>
    <row r="198" spans="1:9" x14ac:dyDescent="0.25">
      <c r="A198" s="1" t="str">
        <f>IF(Main!A200&lt;&gt;"",CONCATENATE("&lt;div class='String_ID_ISSUE'&gt;&lt;b&gt;ID: ",Main!A200,"&lt;/b&gt; - &lt;i&gt;",Main!I200,"pt, tracking ",Main!J200,", ",Main!K200," line(s)&lt;/i&gt;&lt;/div&gt;&lt;div class=""",Main!N200,""" style='width:",Main!M200,"px; height:",Main!L200,"px'&gt;",Main!H200,"&lt;/div&gt;&lt;br&gt;",IF(Main!A201="","&lt;/body&gt;
&lt;/html&gt;","")),"")</f>
        <v/>
      </c>
      <c r="I198" t="str">
        <f t="shared" si="3"/>
        <v/>
      </c>
    </row>
    <row r="199" spans="1:9" x14ac:dyDescent="0.25">
      <c r="A199" s="1" t="str">
        <f>IF(Main!A201&lt;&gt;"",CONCATENATE("&lt;div class='String_ID_ISSUE'&gt;&lt;b&gt;ID: ",Main!A201,"&lt;/b&gt; - &lt;i&gt;",Main!I201,"pt, tracking ",Main!J201,", ",Main!K201," line(s)&lt;/i&gt;&lt;/div&gt;&lt;div class=""",Main!N201,""" style='width:",Main!M201,"px; height:",Main!L201,"px'&gt;",Main!H201,"&lt;/div&gt;&lt;br&gt;",IF(Main!A202="","&lt;/body&gt;
&lt;/html&gt;","")),"")</f>
        <v/>
      </c>
      <c r="I199" t="str">
        <f t="shared" si="3"/>
        <v/>
      </c>
    </row>
    <row r="200" spans="1:9" x14ac:dyDescent="0.25">
      <c r="A200" s="1" t="str">
        <f>IF(Main!A202&lt;&gt;"",CONCATENATE("&lt;div class='String_ID_ISSUE'&gt;&lt;b&gt;ID: ",Main!A202,"&lt;/b&gt; - &lt;i&gt;",Main!I202,"pt, tracking ",Main!J202,", ",Main!K202," line(s)&lt;/i&gt;&lt;/div&gt;&lt;div class=""",Main!N202,""" style='width:",Main!M202,"px; height:",Main!L202,"px'&gt;",Main!H202,"&lt;/div&gt;&lt;br&gt;",IF(Main!A203="","&lt;/body&gt;
&lt;/html&gt;","")),"")</f>
        <v/>
      </c>
      <c r="I200" t="str">
        <f t="shared" si="3"/>
        <v/>
      </c>
    </row>
    <row r="201" spans="1:9" x14ac:dyDescent="0.25">
      <c r="A201" s="1" t="str">
        <f>IF(Main!A203&lt;&gt;"",CONCATENATE("&lt;div class='String_ID_ISSUE'&gt;&lt;b&gt;ID: ",Main!A203,"&lt;/b&gt; - &lt;i&gt;",Main!I203,"pt, tracking ",Main!J203,", ",Main!K203," line(s)&lt;/i&gt;&lt;/div&gt;&lt;div class=""",Main!N203,""" style='width:",Main!M203,"px; height:",Main!L203,"px'&gt;",Main!H203,"&lt;/div&gt;&lt;br&gt;",IF(Main!A204="","&lt;/body&gt;
&lt;/html&gt;","")),"")</f>
        <v/>
      </c>
      <c r="I201" t="str">
        <f t="shared" si="3"/>
        <v/>
      </c>
    </row>
    <row r="202" spans="1:9" x14ac:dyDescent="0.25">
      <c r="A202" s="1" t="str">
        <f>IF(Main!A204&lt;&gt;"",CONCATENATE("&lt;div class='String_ID_ISSUE'&gt;&lt;b&gt;ID: ",Main!A204,"&lt;/b&gt; - &lt;i&gt;",Main!I204,"pt, tracking ",Main!J204,", ",Main!K204," line(s)&lt;/i&gt;&lt;/div&gt;&lt;div class=""",Main!N204,""" style='width:",Main!M204,"px; height:",Main!L204,"px'&gt;",Main!H204,"&lt;/div&gt;&lt;br&gt;",IF(Main!A205="","&lt;/body&gt;
&lt;/html&gt;","")),"")</f>
        <v/>
      </c>
      <c r="I202" t="str">
        <f t="shared" si="3"/>
        <v/>
      </c>
    </row>
    <row r="203" spans="1:9" x14ac:dyDescent="0.25">
      <c r="A203" s="1" t="str">
        <f>IF(Main!A205&lt;&gt;"",CONCATENATE("&lt;div class='String_ID_ISSUE'&gt;&lt;b&gt;ID: ",Main!A205,"&lt;/b&gt; - &lt;i&gt;",Main!I205,"pt, tracking ",Main!J205,", ",Main!K205," line(s)&lt;/i&gt;&lt;/div&gt;&lt;div class=""",Main!N205,""" style='width:",Main!M205,"px; height:",Main!L205,"px'&gt;",Main!H205,"&lt;/div&gt;&lt;br&gt;",IF(Main!A206="","&lt;/body&gt;
&lt;/html&gt;","")),"")</f>
        <v/>
      </c>
    </row>
    <row r="204" spans="1:9" x14ac:dyDescent="0.25">
      <c r="A204" s="1" t="str">
        <f>IF(Main!A206&lt;&gt;"",CONCATENATE("&lt;div class='String_ID_ISSUE'&gt;&lt;b&gt;ID: ",Main!A206,"&lt;/b&gt; - &lt;i&gt;",Main!I206,"pt, tracking ",Main!J206,", ",Main!K206," line(s)&lt;/i&gt;&lt;/div&gt;&lt;div class=""",Main!N206,""" style='width:",Main!M206,"px; height:",Main!L206,"px'&gt;",Main!H206,"&lt;/div&gt;&lt;br&gt;",IF(Main!A207="","&lt;/body&gt;
&lt;/html&gt;","")),"")</f>
        <v/>
      </c>
    </row>
    <row r="205" spans="1:9" x14ac:dyDescent="0.25">
      <c r="A205" s="1" t="str">
        <f>IF(Main!A207&lt;&gt;"",CONCATENATE("&lt;div class='String_ID_ISSUE'&gt;&lt;b&gt;ID: ",Main!A207,"&lt;/b&gt; - &lt;i&gt;",Main!I207,"pt, tracking ",Main!J207,", ",Main!K207," line(s)&lt;/i&gt;&lt;/div&gt;&lt;div class=""",Main!N207,""" style='width:",Main!M207,"px; height:",Main!L207,"px'&gt;",Main!H207,"&lt;/div&gt;&lt;br&gt;",IF(Main!A208="","&lt;/body&gt;
&lt;/html&gt;","")),"")</f>
        <v/>
      </c>
    </row>
    <row r="206" spans="1:9" x14ac:dyDescent="0.25">
      <c r="A206" s="1" t="str">
        <f>IF(Main!A208&lt;&gt;"",CONCATENATE("&lt;div class='String_ID_ISSUE'&gt;&lt;b&gt;ID: ",Main!A208,"&lt;/b&gt; - &lt;i&gt;",Main!I208,"pt, tracking ",Main!J208,", ",Main!K208," line(s)&lt;/i&gt;&lt;/div&gt;&lt;div class=""",Main!N208,""" style='width:",Main!M208,"px; height:",Main!L208,"px'&gt;",Main!H208,"&lt;/div&gt;&lt;br&gt;",IF(Main!A209="","&lt;/body&gt;
&lt;/html&gt;","")),"")</f>
        <v/>
      </c>
    </row>
    <row r="207" spans="1:9" x14ac:dyDescent="0.25">
      <c r="A207" s="1" t="str">
        <f>IF(Main!A209&lt;&gt;"",CONCATENATE("&lt;div class='String_ID_ISSUE'&gt;&lt;b&gt;ID: ",Main!A209,"&lt;/b&gt; - &lt;i&gt;",Main!I209,"pt, tracking ",Main!J209,", ",Main!K209," line(s)&lt;/i&gt;&lt;/div&gt;&lt;div class=""",Main!N209,""" style='width:",Main!M209,"px; height:",Main!L209,"px'&gt;",Main!H209,"&lt;/div&gt;&lt;br&gt;",IF(Main!A210="","&lt;/body&gt;
&lt;/html&gt;","")),"")</f>
        <v/>
      </c>
    </row>
    <row r="208" spans="1:9" x14ac:dyDescent="0.25">
      <c r="A208" s="1" t="str">
        <f>IF(Main!A210&lt;&gt;"",CONCATENATE("&lt;div class='String_ID_ISSUE'&gt;&lt;b&gt;ID: ",Main!A210,"&lt;/b&gt; - &lt;i&gt;",Main!I210,"pt, tracking ",Main!J210,", ",Main!K210," line(s)&lt;/i&gt;&lt;/div&gt;&lt;div class=""",Main!N210,""" style='width:",Main!M210,"px; height:",Main!L210,"px'&gt;",Main!H210,"&lt;/div&gt;&lt;br&gt;",IF(Main!A211="","&lt;/body&gt;
&lt;/html&gt;","")),"")</f>
        <v/>
      </c>
    </row>
    <row r="209" spans="1:1" x14ac:dyDescent="0.25">
      <c r="A209" s="1" t="str">
        <f>IF(Main!A211&lt;&gt;"",CONCATENATE("&lt;div class='String_ID_ISSUE'&gt;&lt;b&gt;ID: ",Main!A211,"&lt;/b&gt; - &lt;i&gt;",Main!I211,"pt, tracking ",Main!J211,", ",Main!K211," line(s)&lt;/i&gt;&lt;/div&gt;&lt;div class=""",Main!N211,""" style='width:",Main!M211,"px; height:",Main!L211,"px'&gt;",Main!H211,"&lt;/div&gt;&lt;br&gt;",IF(Main!A212="","&lt;/body&gt;
&lt;/html&gt;","")),"")</f>
        <v/>
      </c>
    </row>
    <row r="210" spans="1:1" x14ac:dyDescent="0.25">
      <c r="A210" s="1" t="str">
        <f>IF(Main!A212&lt;&gt;"",CONCATENATE("&lt;div class='String_ID_ISSUE'&gt;&lt;b&gt;ID: ",Main!A212,"&lt;/b&gt; - &lt;i&gt;",Main!I212,"pt, tracking ",Main!J212,", ",Main!K212," line(s)&lt;/i&gt;&lt;/div&gt;&lt;div class=""",Main!N212,""" style='width:",Main!M212,"px; height:",Main!L212,"px'&gt;",Main!H212,"&lt;/div&gt;&lt;br&gt;",IF(Main!A213="","&lt;/body&gt;
&lt;/html&gt;","")),"")</f>
        <v/>
      </c>
    </row>
    <row r="211" spans="1:1" x14ac:dyDescent="0.25">
      <c r="A211" s="1" t="str">
        <f>IF(Main!A213&lt;&gt;"",CONCATENATE("&lt;div class='String_ID_ISSUE'&gt;&lt;b&gt;ID: ",Main!A213,"&lt;/b&gt; - &lt;i&gt;",Main!I213,"pt, tracking ",Main!J213,", ",Main!K213," line(s)&lt;/i&gt;&lt;/div&gt;&lt;div class=""",Main!N213,""" style='width:",Main!M213,"px; height:",Main!L213,"px'&gt;",Main!H213,"&lt;/div&gt;&lt;br&gt;",IF(Main!A214="","&lt;/body&gt;
&lt;/html&gt;","")),"")</f>
        <v/>
      </c>
    </row>
    <row r="212" spans="1:1" x14ac:dyDescent="0.25">
      <c r="A212" s="1" t="str">
        <f>IF(Main!A214&lt;&gt;"",CONCATENATE("&lt;div class='String_ID_ISSUE'&gt;&lt;b&gt;ID: ",Main!A214,"&lt;/b&gt; - &lt;i&gt;",Main!I214,"pt, tracking ",Main!J214,", ",Main!K214," line(s)&lt;/i&gt;&lt;/div&gt;&lt;div class=""",Main!N214,""" style='width:",Main!M214,"px; height:",Main!L214,"px'&gt;",Main!H214,"&lt;/div&gt;&lt;br&gt;",IF(Main!A215="","&lt;/body&gt;
&lt;/html&gt;","")),"")</f>
        <v/>
      </c>
    </row>
    <row r="213" spans="1:1" x14ac:dyDescent="0.25">
      <c r="A213" s="1" t="str">
        <f>IF(Main!A215&lt;&gt;"",CONCATENATE("&lt;div class='String_ID_ISSUE'&gt;&lt;b&gt;ID: ",Main!A215,"&lt;/b&gt; - &lt;i&gt;",Main!I215,"pt, tracking ",Main!J215,", ",Main!K215," line(s)&lt;/i&gt;&lt;/div&gt;&lt;div class=""",Main!N215,""" style='width:",Main!M215,"px; height:",Main!L215,"px'&gt;",Main!H215,"&lt;/div&gt;&lt;br&gt;",IF(Main!A216="","&lt;/body&gt;
&lt;/html&gt;","")),"")</f>
        <v/>
      </c>
    </row>
    <row r="214" spans="1:1" x14ac:dyDescent="0.25">
      <c r="A214" s="1" t="str">
        <f>IF(Main!A216&lt;&gt;"",CONCATENATE("&lt;div class='String_ID_ISSUE'&gt;&lt;b&gt;ID: ",Main!A216,"&lt;/b&gt; - &lt;i&gt;",Main!I216,"pt, tracking ",Main!J216,", ",Main!K216," line(s)&lt;/i&gt;&lt;/div&gt;&lt;div class=""",Main!N216,""" style='width:",Main!M216,"px; height:",Main!L216,"px'&gt;",Main!H216,"&lt;/div&gt;&lt;br&gt;",IF(Main!A217="","&lt;/body&gt;
&lt;/html&gt;","")),"")</f>
        <v/>
      </c>
    </row>
    <row r="215" spans="1:1" x14ac:dyDescent="0.25">
      <c r="A215" s="1" t="str">
        <f>IF(Main!A217&lt;&gt;"",CONCATENATE("&lt;div class='String_ID_ISSUE'&gt;&lt;b&gt;ID: ",Main!A217,"&lt;/b&gt; - &lt;i&gt;",Main!I217,"pt, tracking ",Main!J217,", ",Main!K217," line(s)&lt;/i&gt;&lt;/div&gt;&lt;div class=""",Main!N217,""" style='width:",Main!M217,"px; height:",Main!L217,"px'&gt;",Main!H217,"&lt;/div&gt;&lt;br&gt;",IF(Main!A218="","&lt;/body&gt;
&lt;/html&gt;","")),"")</f>
        <v/>
      </c>
    </row>
    <row r="216" spans="1:1" x14ac:dyDescent="0.25">
      <c r="A216" s="1" t="str">
        <f>IF(Main!A218&lt;&gt;"",CONCATENATE("&lt;div class='String_ID_ISSUE'&gt;&lt;b&gt;ID: ",Main!A218,"&lt;/b&gt; - &lt;i&gt;",Main!I218,"pt, tracking ",Main!J218,", ",Main!K218," line(s)&lt;/i&gt;&lt;/div&gt;&lt;div class=""",Main!N218,""" style='width:",Main!M218,"px; height:",Main!L218,"px'&gt;",Main!H218,"&lt;/div&gt;&lt;br&gt;",IF(Main!A219="","&lt;/body&gt;
&lt;/html&gt;","")),"")</f>
        <v/>
      </c>
    </row>
    <row r="217" spans="1:1" x14ac:dyDescent="0.25">
      <c r="A217" s="1" t="str">
        <f>IF(Main!A219&lt;&gt;"",CONCATENATE("&lt;div class='String_ID_ISSUE'&gt;&lt;b&gt;ID: ",Main!A219,"&lt;/b&gt; - &lt;i&gt;",Main!I219,"pt, tracking ",Main!J219,", ",Main!K219," line(s)&lt;/i&gt;&lt;/div&gt;&lt;div class=""",Main!N219,""" style='width:",Main!M219,"px; height:",Main!L219,"px'&gt;",Main!H219,"&lt;/div&gt;&lt;br&gt;",IF(Main!A220="","&lt;/body&gt;
&lt;/html&gt;","")),"")</f>
        <v/>
      </c>
    </row>
    <row r="218" spans="1:1" x14ac:dyDescent="0.25">
      <c r="A218" s="1" t="str">
        <f>IF(Main!A220&lt;&gt;"",CONCATENATE("&lt;div class='String_ID_ISSUE'&gt;&lt;b&gt;ID: ",Main!A220,"&lt;/b&gt; - &lt;i&gt;",Main!I220,"pt, tracking ",Main!J220,", ",Main!K220," line(s)&lt;/i&gt;&lt;/div&gt;&lt;div class=""",Main!N220,""" style='width:",Main!M220,"px; height:",Main!L220,"px'&gt;",Main!H220,"&lt;/div&gt;&lt;br&gt;",IF(Main!A221="","&lt;/body&gt;
&lt;/html&gt;","")),"")</f>
        <v/>
      </c>
    </row>
    <row r="219" spans="1:1" x14ac:dyDescent="0.25">
      <c r="A219" s="1" t="str">
        <f>IF(Main!A221&lt;&gt;"",CONCATENATE("&lt;div class='String_ID_ISSUE'&gt;&lt;b&gt;ID: ",Main!A221,"&lt;/b&gt; - &lt;i&gt;",Main!I221,"pt, tracking ",Main!J221,", ",Main!K221," line(s)&lt;/i&gt;&lt;/div&gt;&lt;div class=""",Main!N221,""" style='width:",Main!M221,"px; height:",Main!L221,"px'&gt;",Main!H221,"&lt;/div&gt;&lt;br&gt;",IF(Main!A222="","&lt;/body&gt;
&lt;/html&gt;","")),"")</f>
        <v/>
      </c>
    </row>
    <row r="220" spans="1:1" x14ac:dyDescent="0.25">
      <c r="A220" s="1" t="str">
        <f>IF(Main!A222&lt;&gt;"",CONCATENATE("&lt;div class='String_ID_ISSUE'&gt;&lt;b&gt;ID: ",Main!A222,"&lt;/b&gt; - &lt;i&gt;",Main!I222,"pt, tracking ",Main!J222,", ",Main!K222," line(s)&lt;/i&gt;&lt;/div&gt;&lt;div class=""",Main!N222,""" style='width:",Main!M222,"px; height:",Main!L222,"px'&gt;",Main!H222,"&lt;/div&gt;&lt;br&gt;",IF(Main!A223="","&lt;/body&gt;
&lt;/html&gt;","")),"")</f>
        <v/>
      </c>
    </row>
    <row r="221" spans="1:1" x14ac:dyDescent="0.25">
      <c r="A221" s="1" t="str">
        <f>IF(Main!A223&lt;&gt;"",CONCATENATE("&lt;div class='String_ID_ISSUE'&gt;&lt;b&gt;ID: ",Main!A223,"&lt;/b&gt; - &lt;i&gt;",Main!I223,"pt, tracking ",Main!J223,", ",Main!K223," line(s)&lt;/i&gt;&lt;/div&gt;&lt;div class=""",Main!N223,""" style='width:",Main!M223,"px; height:",Main!L223,"px'&gt;",Main!H223,"&lt;/div&gt;&lt;br&gt;",IF(Main!A224="","&lt;/body&gt;
&lt;/html&gt;","")),"")</f>
        <v/>
      </c>
    </row>
    <row r="222" spans="1:1" x14ac:dyDescent="0.25">
      <c r="A222" s="1" t="str">
        <f>IF(Main!A224&lt;&gt;"",CONCATENATE("&lt;div class='String_ID_ISSUE'&gt;&lt;b&gt;ID: ",Main!A224,"&lt;/b&gt; - &lt;i&gt;",Main!I224,"pt, tracking ",Main!J224,", ",Main!K224," line(s)&lt;/i&gt;&lt;/div&gt;&lt;div class=""",Main!N224,""" style='width:",Main!M224,"px; height:",Main!L224,"px'&gt;",Main!H224,"&lt;/div&gt;&lt;br&gt;",IF(Main!A225="","&lt;/body&gt;
&lt;/html&gt;","")),"")</f>
        <v/>
      </c>
    </row>
    <row r="223" spans="1:1" x14ac:dyDescent="0.25">
      <c r="A223" s="1" t="str">
        <f>IF(Main!A225&lt;&gt;"",CONCATENATE("&lt;div class='String_ID_ISSUE'&gt;&lt;b&gt;ID: ",Main!A225,"&lt;/b&gt; - &lt;i&gt;",Main!I225,"pt, tracking ",Main!J225,", ",Main!K225," line(s)&lt;/i&gt;&lt;/div&gt;&lt;div class=""",Main!N225,""" style='width:",Main!M225,"px; height:",Main!L225,"px'&gt;",Main!H225,"&lt;/div&gt;&lt;br&gt;",IF(Main!A226="","&lt;/body&gt;
&lt;/html&gt;","")),"")</f>
        <v/>
      </c>
    </row>
    <row r="224" spans="1:1" x14ac:dyDescent="0.25">
      <c r="A224" s="1" t="str">
        <f>IF(Main!A226&lt;&gt;"",CONCATENATE("&lt;div class='String_ID_ISSUE'&gt;&lt;b&gt;ID: ",Main!A226,"&lt;/b&gt; - &lt;i&gt;",Main!I226,"pt, tracking ",Main!J226,", ",Main!K226," line(s)&lt;/i&gt;&lt;/div&gt;&lt;div class=""",Main!N226,""" style='width:",Main!M226,"px; height:",Main!L226,"px'&gt;",Main!H226,"&lt;/div&gt;&lt;br&gt;",IF(Main!A227="","&lt;/body&gt;
&lt;/html&gt;","")),"")</f>
        <v/>
      </c>
    </row>
    <row r="225" spans="1:1" x14ac:dyDescent="0.25">
      <c r="A225" s="1" t="str">
        <f>IF(Main!A227&lt;&gt;"",CONCATENATE("&lt;div class='String_ID_ISSUE'&gt;&lt;b&gt;ID: ",Main!A227,"&lt;/b&gt; - &lt;i&gt;",Main!I227,"pt, tracking ",Main!J227,", ",Main!K227," line(s)&lt;/i&gt;&lt;/div&gt;&lt;div class=""",Main!N227,""" style='width:",Main!M227,"px; height:",Main!L227,"px'&gt;",Main!H227,"&lt;/div&gt;&lt;br&gt;",IF(Main!A228="","&lt;/body&gt;
&lt;/html&gt;","")),"")</f>
        <v/>
      </c>
    </row>
    <row r="226" spans="1:1" x14ac:dyDescent="0.25">
      <c r="A226" s="1" t="str">
        <f>IF(Main!A228&lt;&gt;"",CONCATENATE("&lt;div class='String_ID_ISSUE'&gt;&lt;b&gt;ID: ",Main!A228,"&lt;/b&gt; - &lt;i&gt;",Main!I228,"pt, tracking ",Main!J228,", ",Main!K228," line(s)&lt;/i&gt;&lt;/div&gt;&lt;div class=""",Main!N228,""" style='width:",Main!M228,"px; height:",Main!L228,"px'&gt;",Main!H228,"&lt;/div&gt;&lt;br&gt;",IF(Main!A229="","&lt;/body&gt;
&lt;/html&gt;","")),"")</f>
        <v/>
      </c>
    </row>
    <row r="227" spans="1:1" x14ac:dyDescent="0.25">
      <c r="A227" s="1" t="str">
        <f>IF(Main!A229&lt;&gt;"",CONCATENATE("&lt;div class='String_ID_ISSUE'&gt;&lt;b&gt;ID: ",Main!A229,"&lt;/b&gt; - &lt;i&gt;",Main!I229,"pt, tracking ",Main!J229,", ",Main!K229," line(s)&lt;/i&gt;&lt;/div&gt;&lt;div class=""",Main!N229,""" style='width:",Main!M229,"px; height:",Main!L229,"px'&gt;",Main!H229,"&lt;/div&gt;&lt;br&gt;",IF(Main!A230="","&lt;/body&gt;
&lt;/html&gt;","")),"")</f>
        <v/>
      </c>
    </row>
    <row r="228" spans="1:1" x14ac:dyDescent="0.25">
      <c r="A228" s="1" t="str">
        <f>IF(Main!A230&lt;&gt;"",CONCATENATE("&lt;div class='String_ID_ISSUE'&gt;&lt;b&gt;ID: ",Main!A230,"&lt;/b&gt; - &lt;i&gt;",Main!I230,"pt, tracking ",Main!J230,", ",Main!K230," line(s)&lt;/i&gt;&lt;/div&gt;&lt;div class=""",Main!N230,""" style='width:",Main!M230,"px; height:",Main!L230,"px'&gt;",Main!H230,"&lt;/div&gt;&lt;br&gt;",IF(Main!A231="","&lt;/body&gt;
&lt;/html&gt;","")),"")</f>
        <v/>
      </c>
    </row>
    <row r="229" spans="1:1" x14ac:dyDescent="0.25">
      <c r="A229" s="1" t="str">
        <f>IF(Main!A231&lt;&gt;"",CONCATENATE("&lt;div class='String_ID_ISSUE'&gt;&lt;b&gt;ID: ",Main!A231,"&lt;/b&gt; - &lt;i&gt;",Main!I231,"pt, tracking ",Main!J231,", ",Main!K231," line(s)&lt;/i&gt;&lt;/div&gt;&lt;div class=""",Main!N231,""" style='width:",Main!M231,"px; height:",Main!L231,"px'&gt;",Main!H231,"&lt;/div&gt;&lt;br&gt;",IF(Main!A232="","&lt;/body&gt;
&lt;/html&gt;","")),"")</f>
        <v/>
      </c>
    </row>
    <row r="230" spans="1:1" x14ac:dyDescent="0.25">
      <c r="A230" s="1" t="str">
        <f>IF(Main!A232&lt;&gt;"",CONCATENATE("&lt;div class='String_ID_ISSUE'&gt;&lt;b&gt;ID: ",Main!A232,"&lt;/b&gt; - &lt;i&gt;",Main!I232,"pt, tracking ",Main!J232,", ",Main!K232," line(s)&lt;/i&gt;&lt;/div&gt;&lt;div class=""",Main!N232,""" style='width:",Main!M232,"px; height:",Main!L232,"px'&gt;",Main!H232,"&lt;/div&gt;&lt;br&gt;",IF(Main!A233="","&lt;/body&gt;
&lt;/html&gt;","")),"")</f>
        <v/>
      </c>
    </row>
    <row r="231" spans="1:1" x14ac:dyDescent="0.25">
      <c r="A231" s="1" t="str">
        <f>IF(Main!A233&lt;&gt;"",CONCATENATE("&lt;div class='String_ID_ISSUE'&gt;&lt;b&gt;ID: ",Main!A233,"&lt;/b&gt; - &lt;i&gt;",Main!I233,"pt, tracking ",Main!J233,", ",Main!K233," line(s)&lt;/i&gt;&lt;/div&gt;&lt;div class=""",Main!N233,""" style='width:",Main!M233,"px; height:",Main!L233,"px'&gt;",Main!H233,"&lt;/div&gt;&lt;br&gt;",IF(Main!A234="","&lt;/body&gt;
&lt;/html&gt;","")),"")</f>
        <v/>
      </c>
    </row>
    <row r="232" spans="1:1" x14ac:dyDescent="0.25">
      <c r="A232" s="1" t="str">
        <f>IF(Main!A234&lt;&gt;"",CONCATENATE("&lt;div class='String_ID_ISSUE'&gt;&lt;b&gt;ID: ",Main!A234,"&lt;/b&gt; - &lt;i&gt;",Main!I234,"pt, tracking ",Main!J234,", ",Main!K234," line(s)&lt;/i&gt;&lt;/div&gt;&lt;div class=""",Main!N234,""" style='width:",Main!M234,"px; height:",Main!L234,"px'&gt;",Main!H234,"&lt;/div&gt;&lt;br&gt;",IF(Main!A235="","&lt;/body&gt;
&lt;/html&gt;","")),"")</f>
        <v/>
      </c>
    </row>
    <row r="233" spans="1:1" x14ac:dyDescent="0.25">
      <c r="A233" s="1" t="str">
        <f>IF(Main!A235&lt;&gt;"",CONCATENATE("&lt;div class='String_ID_ISSUE'&gt;&lt;b&gt;ID: ",Main!A235,"&lt;/b&gt; - &lt;i&gt;",Main!I235,"pt, tracking ",Main!J235,", ",Main!K235," line(s)&lt;/i&gt;&lt;/div&gt;&lt;div class=""",Main!N235,""" style='width:",Main!M235,"px; height:",Main!L235,"px'&gt;",Main!H235,"&lt;/div&gt;&lt;br&gt;",IF(Main!A236="","&lt;/body&gt;
&lt;/html&gt;","")),"")</f>
        <v/>
      </c>
    </row>
    <row r="234" spans="1:1" x14ac:dyDescent="0.25">
      <c r="A234" s="1" t="str">
        <f>IF(Main!A236&lt;&gt;"",CONCATENATE("&lt;div class='String_ID_ISSUE'&gt;&lt;b&gt;ID: ",Main!A236,"&lt;/b&gt; - &lt;i&gt;",Main!I236,"pt, tracking ",Main!J236,", ",Main!K236," line(s)&lt;/i&gt;&lt;/div&gt;&lt;div class=""",Main!N236,""" style='width:",Main!M236,"px; height:",Main!L236,"px'&gt;",Main!H236,"&lt;/div&gt;&lt;br&gt;",IF(Main!A237="","&lt;/body&gt;
&lt;/html&gt;","")),"")</f>
        <v/>
      </c>
    </row>
    <row r="235" spans="1:1" x14ac:dyDescent="0.25">
      <c r="A235" s="1" t="str">
        <f>IF(Main!A237&lt;&gt;"",CONCATENATE("&lt;div class='String_ID_ISSUE'&gt;&lt;b&gt;ID: ",Main!A237,"&lt;/b&gt; - &lt;i&gt;",Main!I237,"pt, tracking ",Main!J237,", ",Main!K237," line(s)&lt;/i&gt;&lt;/div&gt;&lt;div class=""",Main!N237,""" style='width:",Main!M237,"px; height:",Main!L237,"px'&gt;",Main!H237,"&lt;/div&gt;&lt;br&gt;",IF(Main!A238="","&lt;/body&gt;
&lt;/html&gt;","")),"")</f>
        <v/>
      </c>
    </row>
    <row r="236" spans="1:1" x14ac:dyDescent="0.25">
      <c r="A236" s="1" t="str">
        <f>IF(Main!A238&lt;&gt;"",CONCATENATE("&lt;div class='String_ID_ISSUE'&gt;&lt;b&gt;ID: ",Main!A238,"&lt;/b&gt; - &lt;i&gt;",Main!I238,"pt, tracking ",Main!J238,", ",Main!K238," line(s)&lt;/i&gt;&lt;/div&gt;&lt;div class=""",Main!N238,""" style='width:",Main!M238,"px; height:",Main!L238,"px'&gt;",Main!H238,"&lt;/div&gt;&lt;br&gt;",IF(Main!A239="","&lt;/body&gt;
&lt;/html&gt;","")),"")</f>
        <v/>
      </c>
    </row>
    <row r="237" spans="1:1" x14ac:dyDescent="0.25">
      <c r="A237" s="1" t="str">
        <f>IF(Main!A239&lt;&gt;"",CONCATENATE("&lt;div class='String_ID_ISSUE'&gt;&lt;b&gt;ID: ",Main!A239,"&lt;/b&gt; - &lt;i&gt;",Main!I239,"pt, tracking ",Main!J239,", ",Main!K239," line(s)&lt;/i&gt;&lt;/div&gt;&lt;div class=""",Main!N239,""" style='width:",Main!M239,"px; height:",Main!L239,"px'&gt;",Main!H239,"&lt;/div&gt;&lt;br&gt;",IF(Main!A240="","&lt;/body&gt;
&lt;/html&gt;","")),"")</f>
        <v/>
      </c>
    </row>
    <row r="238" spans="1:1" x14ac:dyDescent="0.25">
      <c r="A238" s="1" t="str">
        <f>IF(Main!A240&lt;&gt;"",CONCATENATE("&lt;div class='String_ID_ISSUE'&gt;&lt;b&gt;ID: ",Main!A240,"&lt;/b&gt; - &lt;i&gt;",Main!I240,"pt, tracking ",Main!J240,", ",Main!K240," line(s)&lt;/i&gt;&lt;/div&gt;&lt;div class=""",Main!N240,""" style='width:",Main!M240,"px; height:",Main!L240,"px'&gt;",Main!H240,"&lt;/div&gt;&lt;br&gt;",IF(Main!A241="","&lt;/body&gt;
&lt;/html&gt;","")),"")</f>
        <v/>
      </c>
    </row>
    <row r="239" spans="1:1" x14ac:dyDescent="0.25">
      <c r="A239" s="1" t="str">
        <f>IF(Main!A241&lt;&gt;"",CONCATENATE("&lt;div class='String_ID_ISSUE'&gt;&lt;b&gt;ID: ",Main!A241,"&lt;/b&gt; - &lt;i&gt;",Main!I241,"pt, tracking ",Main!J241,", ",Main!K241," line(s)&lt;/i&gt;&lt;/div&gt;&lt;div class=""",Main!N241,""" style='width:",Main!M241,"px; height:",Main!L241,"px'&gt;",Main!H241,"&lt;/div&gt;&lt;br&gt;",IF(Main!A242="","&lt;/body&gt;
&lt;/html&gt;","")),"")</f>
        <v/>
      </c>
    </row>
    <row r="240" spans="1:1" x14ac:dyDescent="0.25">
      <c r="A240" s="1" t="str">
        <f>IF(Main!A242&lt;&gt;"",CONCATENATE("&lt;div class='String_ID_ISSUE'&gt;&lt;b&gt;ID: ",Main!A242,"&lt;/b&gt; - &lt;i&gt;",Main!I242,"pt, tracking ",Main!J242,", ",Main!K242," line(s)&lt;/i&gt;&lt;/div&gt;&lt;div class=""",Main!N242,""" style='width:",Main!M242,"px; height:",Main!L242,"px'&gt;",Main!H242,"&lt;/div&gt;&lt;br&gt;",IF(Main!A243="","&lt;/body&gt;
&lt;/html&gt;","")),"")</f>
        <v/>
      </c>
    </row>
    <row r="241" spans="1:1" x14ac:dyDescent="0.25">
      <c r="A241" s="1" t="str">
        <f>IF(Main!A243&lt;&gt;"",CONCATENATE("&lt;div class='String_ID_ISSUE'&gt;&lt;b&gt;ID: ",Main!A243,"&lt;/b&gt; - &lt;i&gt;",Main!I243,"pt, tracking ",Main!J243,", ",Main!K243," line(s)&lt;/i&gt;&lt;/div&gt;&lt;div class=""",Main!N243,""" style='width:",Main!M243,"px; height:",Main!L243,"px'&gt;",Main!H243,"&lt;/div&gt;&lt;br&gt;",IF(Main!A244="","&lt;/body&gt;
&lt;/html&gt;","")),"")</f>
        <v/>
      </c>
    </row>
    <row r="242" spans="1:1" x14ac:dyDescent="0.25">
      <c r="A242" s="1" t="str">
        <f>IF(Main!A244&lt;&gt;"",CONCATENATE("&lt;div class='String_ID_ISSUE'&gt;&lt;b&gt;ID: ",Main!A244,"&lt;/b&gt; - &lt;i&gt;",Main!I244,"pt, tracking ",Main!J244,", ",Main!K244," line(s)&lt;/i&gt;&lt;/div&gt;&lt;div class=""",Main!N244,""" style='width:",Main!M244,"px; height:",Main!L244,"px'&gt;",Main!H244,"&lt;/div&gt;&lt;br&gt;",IF(Main!A245="","&lt;/body&gt;
&lt;/html&gt;","")),"")</f>
        <v/>
      </c>
    </row>
    <row r="243" spans="1:1" x14ac:dyDescent="0.25">
      <c r="A243" s="1" t="str">
        <f>IF(Main!A245&lt;&gt;"",CONCATENATE("&lt;div class='String_ID_ISSUE'&gt;&lt;b&gt;ID: ",Main!A245,"&lt;/b&gt; - &lt;i&gt;",Main!I245,"pt, tracking ",Main!J245,", ",Main!K245," line(s)&lt;/i&gt;&lt;/div&gt;&lt;div class=""",Main!N245,""" style='width:",Main!M245,"px; height:",Main!L245,"px'&gt;",Main!H245,"&lt;/div&gt;&lt;br&gt;",IF(Main!A246="","&lt;/body&gt;
&lt;/html&gt;","")),"")</f>
        <v/>
      </c>
    </row>
    <row r="244" spans="1:1" x14ac:dyDescent="0.25">
      <c r="A244" s="1" t="str">
        <f>IF(Main!A246&lt;&gt;"",CONCATENATE("&lt;div class='String_ID_ISSUE'&gt;&lt;b&gt;ID: ",Main!A246,"&lt;/b&gt; - &lt;i&gt;",Main!I246,"pt, tracking ",Main!J246,", ",Main!K246," line(s)&lt;/i&gt;&lt;/div&gt;&lt;div class=""",Main!N246,""" style='width:",Main!M246,"px; height:",Main!L246,"px'&gt;",Main!H246,"&lt;/div&gt;&lt;br&gt;",IF(Main!A247="","&lt;/body&gt;
&lt;/html&gt;","")),"")</f>
        <v/>
      </c>
    </row>
    <row r="245" spans="1:1" x14ac:dyDescent="0.25">
      <c r="A245" s="1" t="str">
        <f>IF(Main!A247&lt;&gt;"",CONCATENATE("&lt;div class='String_ID_ISSUE'&gt;&lt;b&gt;ID: ",Main!A247,"&lt;/b&gt; - &lt;i&gt;",Main!I247,"pt, tracking ",Main!J247,", ",Main!K247," line(s)&lt;/i&gt;&lt;/div&gt;&lt;div class=""",Main!N247,""" style='width:",Main!M247,"px; height:",Main!L247,"px'&gt;",Main!H247,"&lt;/div&gt;&lt;br&gt;",IF(Main!A248="","&lt;/body&gt;
&lt;/html&gt;","")),"")</f>
        <v/>
      </c>
    </row>
    <row r="246" spans="1:1" x14ac:dyDescent="0.25">
      <c r="A246" s="1" t="str">
        <f>IF(Main!A248&lt;&gt;"",CONCATENATE("&lt;div class='String_ID_ISSUE'&gt;&lt;b&gt;ID: ",Main!A248,"&lt;/b&gt; - &lt;i&gt;",Main!I248,"pt, tracking ",Main!J248,", ",Main!K248," line(s)&lt;/i&gt;&lt;/div&gt;&lt;div class=""",Main!N248,""" style='width:",Main!M248,"px; height:",Main!L248,"px'&gt;",Main!H248,"&lt;/div&gt;&lt;br&gt;",IF(Main!A249="","&lt;/body&gt;
&lt;/html&gt;","")),"")</f>
        <v/>
      </c>
    </row>
    <row r="247" spans="1:1" x14ac:dyDescent="0.25">
      <c r="A247" s="1" t="str">
        <f>IF(Main!A249&lt;&gt;"",CONCATENATE("&lt;div class='String_ID_ISSUE'&gt;&lt;b&gt;ID: ",Main!A249,"&lt;/b&gt; - &lt;i&gt;",Main!I249,"pt, tracking ",Main!J249,", ",Main!K249," line(s)&lt;/i&gt;&lt;/div&gt;&lt;div class=""",Main!N249,""" style='width:",Main!M249,"px; height:",Main!L249,"px'&gt;",Main!H249,"&lt;/div&gt;&lt;br&gt;",IF(Main!A250="","&lt;/body&gt;
&lt;/html&gt;","")),"")</f>
        <v/>
      </c>
    </row>
    <row r="248" spans="1:1" x14ac:dyDescent="0.25">
      <c r="A248" s="1" t="str">
        <f>IF(Main!A250&lt;&gt;"",CONCATENATE("&lt;div class='String_ID_ISSUE'&gt;&lt;b&gt;ID: ",Main!A250,"&lt;/b&gt; - &lt;i&gt;",Main!I250,"pt, tracking ",Main!J250,", ",Main!K250," line(s)&lt;/i&gt;&lt;/div&gt;&lt;div class=""",Main!N250,""" style='width:",Main!M250,"px; height:",Main!L250,"px'&gt;",Main!H250,"&lt;/div&gt;&lt;br&gt;",IF(Main!A251="","&lt;/body&gt;
&lt;/html&gt;","")),"")</f>
        <v/>
      </c>
    </row>
    <row r="249" spans="1:1" x14ac:dyDescent="0.25">
      <c r="A249" s="1" t="str">
        <f>IF(Main!A251&lt;&gt;"",CONCATENATE("&lt;div class='String_ID_ISSUE'&gt;&lt;b&gt;ID: ",Main!A251,"&lt;/b&gt; - &lt;i&gt;",Main!I251,"pt, tracking ",Main!J251,", ",Main!K251," line(s)&lt;/i&gt;&lt;/div&gt;&lt;div class=""",Main!N251,""" style='width:",Main!M251,"px; height:",Main!L251,"px'&gt;",Main!H251,"&lt;/div&gt;&lt;br&gt;",IF(Main!A252="","&lt;/body&gt;
&lt;/html&gt;","")),"")</f>
        <v/>
      </c>
    </row>
    <row r="250" spans="1:1" x14ac:dyDescent="0.25">
      <c r="A250" s="1" t="str">
        <f>IF(Main!A252&lt;&gt;"",CONCATENATE("&lt;div class='String_ID_ISSUE'&gt;&lt;b&gt;ID: ",Main!A252,"&lt;/b&gt; - &lt;i&gt;",Main!I252,"pt, tracking ",Main!J252,", ",Main!K252," line(s)&lt;/i&gt;&lt;/div&gt;&lt;div class=""",Main!N252,""" style='width:",Main!M252,"px; height:",Main!L252,"px'&gt;",Main!H252,"&lt;/div&gt;&lt;br&gt;",IF(Main!A253="","&lt;/body&gt;
&lt;/html&gt;","")),"")</f>
        <v/>
      </c>
    </row>
    <row r="251" spans="1:1" x14ac:dyDescent="0.25">
      <c r="A251" s="1" t="str">
        <f>IF(Main!A253&lt;&gt;"",CONCATENATE("&lt;div class='String_ID_ISSUE'&gt;&lt;b&gt;ID: ",Main!A253,"&lt;/b&gt; - &lt;i&gt;",Main!I253,"pt, tracking ",Main!J253,", ",Main!K253," line(s)&lt;/i&gt;&lt;/div&gt;&lt;div class=""",Main!N253,""" style='width:",Main!M253,"px; height:",Main!L253,"px'&gt;",Main!H253,"&lt;/div&gt;&lt;br&gt;",IF(Main!A254="","&lt;/body&gt;
&lt;/html&gt;","")),"")</f>
        <v/>
      </c>
    </row>
    <row r="252" spans="1:1" x14ac:dyDescent="0.25">
      <c r="A252" s="1" t="str">
        <f>IF(Main!A254&lt;&gt;"",CONCATENATE("&lt;div class='String_ID_ISSUE'&gt;&lt;b&gt;ID: ",Main!A254,"&lt;/b&gt; - &lt;i&gt;",Main!I254,"pt, tracking ",Main!J254,", ",Main!K254," line(s)&lt;/i&gt;&lt;/div&gt;&lt;div class=""",Main!N254,""" style='width:",Main!M254,"px; height:",Main!L254,"px'&gt;",Main!H254,"&lt;/div&gt;&lt;br&gt;",IF(Main!A255="","&lt;/body&gt;
&lt;/html&gt;","")),"")</f>
        <v/>
      </c>
    </row>
    <row r="253" spans="1:1" x14ac:dyDescent="0.25">
      <c r="A253" s="1" t="str">
        <f>IF(Main!A255&lt;&gt;"",CONCATENATE("&lt;div class='String_ID_ISSUE'&gt;&lt;b&gt;ID: ",Main!A255,"&lt;/b&gt; - &lt;i&gt;",Main!I255,"pt, tracking ",Main!J255,", ",Main!K255," line(s)&lt;/i&gt;&lt;/div&gt;&lt;div class=""",Main!N255,""" style='width:",Main!M255,"px; height:",Main!L255,"px'&gt;",Main!H255,"&lt;/div&gt;&lt;br&gt;",IF(Main!A256="","&lt;/body&gt;
&lt;/html&gt;","")),"")</f>
        <v/>
      </c>
    </row>
    <row r="254" spans="1:1" x14ac:dyDescent="0.25">
      <c r="A254" s="1" t="str">
        <f>IF(Main!A256&lt;&gt;"",CONCATENATE("&lt;div class='String_ID_ISSUE'&gt;&lt;b&gt;ID: ",Main!A256,"&lt;/b&gt; - &lt;i&gt;",Main!I256,"pt, tracking ",Main!J256,", ",Main!K256," line(s)&lt;/i&gt;&lt;/div&gt;&lt;div class=""",Main!N256,""" style='width:",Main!M256,"px; height:",Main!L256,"px'&gt;",Main!H256,"&lt;/div&gt;&lt;br&gt;",IF(Main!A257="","&lt;/body&gt;
&lt;/html&gt;","")),"")</f>
        <v/>
      </c>
    </row>
    <row r="255" spans="1:1" x14ac:dyDescent="0.25">
      <c r="A255" s="1" t="str">
        <f>IF(Main!A257&lt;&gt;"",CONCATENATE("&lt;div class='String_ID_ISSUE'&gt;&lt;b&gt;ID: ",Main!A257,"&lt;/b&gt; - &lt;i&gt;",Main!I257,"pt, tracking ",Main!J257,", ",Main!K257," line(s)&lt;/i&gt;&lt;/div&gt;&lt;div class=""",Main!N257,""" style='width:",Main!M257,"px; height:",Main!L257,"px'&gt;",Main!H257,"&lt;/div&gt;&lt;br&gt;",IF(Main!A258="","&lt;/body&gt;
&lt;/html&gt;","")),"")</f>
        <v/>
      </c>
    </row>
    <row r="256" spans="1:1" x14ac:dyDescent="0.25">
      <c r="A256" s="1" t="str">
        <f>IF(Main!A258&lt;&gt;"",CONCATENATE("&lt;div class='String_ID_ISSUE'&gt;&lt;b&gt;ID: ",Main!A258,"&lt;/b&gt; - &lt;i&gt;",Main!I258,"pt, tracking ",Main!J258,", ",Main!K258," line(s)&lt;/i&gt;&lt;/div&gt;&lt;div class=""",Main!N258,""" style='width:",Main!M258,"px; height:",Main!L258,"px'&gt;",Main!H258,"&lt;/div&gt;&lt;br&gt;",IF(Main!A259="","&lt;/body&gt;
&lt;/html&gt;","")),"")</f>
        <v/>
      </c>
    </row>
    <row r="257" spans="1:1" x14ac:dyDescent="0.25">
      <c r="A257" s="1" t="str">
        <f>IF(Main!A259&lt;&gt;"",CONCATENATE("&lt;div class='String_ID_ISSUE'&gt;&lt;b&gt;ID: ",Main!A259,"&lt;/b&gt; - &lt;i&gt;",Main!I259,"pt, tracking ",Main!J259,", ",Main!K259," line(s)&lt;/i&gt;&lt;/div&gt;&lt;div class=""",Main!N259,""" style='width:",Main!M259,"px; height:",Main!L259,"px'&gt;",Main!H259,"&lt;/div&gt;&lt;br&gt;",IF(Main!A260="","&lt;/body&gt;
&lt;/html&gt;","")),"")</f>
        <v/>
      </c>
    </row>
    <row r="258" spans="1:1" x14ac:dyDescent="0.25">
      <c r="A258" s="1" t="str">
        <f>IF(Main!A260&lt;&gt;"",CONCATENATE("&lt;div class='String_ID_ISSUE'&gt;&lt;b&gt;ID: ",Main!A260,"&lt;/b&gt; - &lt;i&gt;",Main!I260,"pt, tracking ",Main!J260,", ",Main!K260," line(s)&lt;/i&gt;&lt;/div&gt;&lt;div class=""",Main!N260,""" style='width:",Main!M260,"px; height:",Main!L260,"px'&gt;",Main!H260,"&lt;/div&gt;&lt;br&gt;",IF(Main!A261="","&lt;/body&gt;
&lt;/html&gt;","")),"")</f>
        <v/>
      </c>
    </row>
    <row r="259" spans="1:1" x14ac:dyDescent="0.25">
      <c r="A259" s="1" t="str">
        <f>IF(Main!A261&lt;&gt;"",CONCATENATE("&lt;div class='String_ID_ISSUE'&gt;&lt;b&gt;ID: ",Main!A261,"&lt;/b&gt; - &lt;i&gt;",Main!I261,"pt, tracking ",Main!J261,", ",Main!K261," line(s)&lt;/i&gt;&lt;/div&gt;&lt;div class=""",Main!N261,""" style='width:",Main!M261,"px; height:",Main!L261,"px'&gt;",Main!H261,"&lt;/div&gt;&lt;br&gt;",IF(Main!A262="","&lt;/body&gt;
&lt;/html&gt;","")),"")</f>
        <v/>
      </c>
    </row>
    <row r="260" spans="1:1" x14ac:dyDescent="0.25">
      <c r="A260" s="1" t="str">
        <f>IF(Main!A262&lt;&gt;"",CONCATENATE("&lt;div class='String_ID_ISSUE'&gt;&lt;b&gt;ID: ",Main!A262,"&lt;/b&gt; - &lt;i&gt;",Main!I262,"pt, tracking ",Main!J262,", ",Main!K262," line(s)&lt;/i&gt;&lt;/div&gt;&lt;div class=""",Main!N262,""" style='width:",Main!M262,"px; height:",Main!L262,"px'&gt;",Main!H262,"&lt;/div&gt;&lt;br&gt;",IF(Main!A263="","&lt;/body&gt;
&lt;/html&gt;","")),"")</f>
        <v/>
      </c>
    </row>
    <row r="261" spans="1:1" x14ac:dyDescent="0.25">
      <c r="A261" s="1" t="str">
        <f>IF(Main!A263&lt;&gt;"",CONCATENATE("&lt;div class='String_ID_ISSUE'&gt;&lt;b&gt;ID: ",Main!A263,"&lt;/b&gt; - &lt;i&gt;",Main!I263,"pt, tracking ",Main!J263,", ",Main!K263," line(s)&lt;/i&gt;&lt;/div&gt;&lt;div class=""",Main!N263,""" style='width:",Main!M263,"px; height:",Main!L263,"px'&gt;",Main!H263,"&lt;/div&gt;&lt;br&gt;",IF(Main!A264="","&lt;/body&gt;
&lt;/html&gt;","")),"")</f>
        <v/>
      </c>
    </row>
    <row r="262" spans="1:1" x14ac:dyDescent="0.25">
      <c r="A262" s="1" t="str">
        <f>IF(Main!A264&lt;&gt;"",CONCATENATE("&lt;div class='String_ID_ISSUE'&gt;&lt;b&gt;ID: ",Main!A264,"&lt;/b&gt; - &lt;i&gt;",Main!I264,"pt, tracking ",Main!J264,", ",Main!K264," line(s)&lt;/i&gt;&lt;/div&gt;&lt;div class=""",Main!N264,""" style='width:",Main!M264,"px; height:",Main!L264,"px'&gt;",Main!H264,"&lt;/div&gt;&lt;br&gt;",IF(Main!A265="","&lt;/body&gt;
&lt;/html&gt;","")),"")</f>
        <v/>
      </c>
    </row>
    <row r="263" spans="1:1" x14ac:dyDescent="0.25">
      <c r="A263" s="1" t="str">
        <f>IF(Main!A265&lt;&gt;"",CONCATENATE("&lt;div class='String_ID_ISSUE'&gt;&lt;b&gt;ID: ",Main!A265,"&lt;/b&gt; - &lt;i&gt;",Main!I265,"pt, tracking ",Main!J265,", ",Main!K265," line(s)&lt;/i&gt;&lt;/div&gt;&lt;div class=""",Main!N265,""" style='width:",Main!M265,"px; height:",Main!L265,"px'&gt;",Main!H265,"&lt;/div&gt;&lt;br&gt;",IF(Main!A266="","&lt;/body&gt;
&lt;/html&gt;","")),"")</f>
        <v/>
      </c>
    </row>
    <row r="264" spans="1:1" x14ac:dyDescent="0.25">
      <c r="A264" s="1" t="str">
        <f>IF(Main!A266&lt;&gt;"",CONCATENATE("&lt;div class='String_ID_ISSUE'&gt;&lt;b&gt;ID: ",Main!A266,"&lt;/b&gt; - &lt;i&gt;",Main!I266,"pt, tracking ",Main!J266,", ",Main!K266," line(s)&lt;/i&gt;&lt;/div&gt;&lt;div class=""",Main!N266,""" style='width:",Main!M266,"px; height:",Main!L266,"px'&gt;",Main!H266,"&lt;/div&gt;&lt;br&gt;",IF(Main!A267="","&lt;/body&gt;
&lt;/html&gt;","")),"")</f>
        <v/>
      </c>
    </row>
    <row r="265" spans="1:1" x14ac:dyDescent="0.25">
      <c r="A265" s="1" t="str">
        <f>IF(Main!A267&lt;&gt;"",CONCATENATE("&lt;div class='String_ID_ISSUE'&gt;&lt;b&gt;ID: ",Main!A267,"&lt;/b&gt; - &lt;i&gt;",Main!I267,"pt, tracking ",Main!J267,", ",Main!K267," line(s)&lt;/i&gt;&lt;/div&gt;&lt;div class=""",Main!N267,""" style='width:",Main!M267,"px; height:",Main!L267,"px'&gt;",Main!H267,"&lt;/div&gt;&lt;br&gt;",IF(Main!A268="","&lt;/body&gt;
&lt;/html&gt;","")),"")</f>
        <v/>
      </c>
    </row>
    <row r="266" spans="1:1" x14ac:dyDescent="0.25">
      <c r="A266" s="1" t="str">
        <f>IF(Main!A268&lt;&gt;"",CONCATENATE("&lt;div class='String_ID_ISSUE'&gt;&lt;b&gt;ID: ",Main!A268,"&lt;/b&gt; - &lt;i&gt;",Main!I268,"pt, tracking ",Main!J268,", ",Main!K268," line(s)&lt;/i&gt;&lt;/div&gt;&lt;div class=""",Main!N268,""" style='width:",Main!M268,"px; height:",Main!L268,"px'&gt;",Main!H268,"&lt;/div&gt;&lt;br&gt;",IF(Main!A269="","&lt;/body&gt;
&lt;/html&gt;","")),"")</f>
        <v/>
      </c>
    </row>
    <row r="267" spans="1:1" x14ac:dyDescent="0.25">
      <c r="A267" s="1" t="str">
        <f>IF(Main!A269&lt;&gt;"",CONCATENATE("&lt;div class='String_ID_ISSUE'&gt;&lt;b&gt;ID: ",Main!A269,"&lt;/b&gt; - &lt;i&gt;",Main!I269,"pt, tracking ",Main!J269,", ",Main!K269," line(s)&lt;/i&gt;&lt;/div&gt;&lt;div class=""",Main!N269,""" style='width:",Main!M269,"px; height:",Main!L269,"px'&gt;",Main!H269,"&lt;/div&gt;&lt;br&gt;",IF(Main!A270="","&lt;/body&gt;
&lt;/html&gt;","")),"")</f>
        <v/>
      </c>
    </row>
    <row r="268" spans="1:1" x14ac:dyDescent="0.25">
      <c r="A268" s="1" t="str">
        <f>IF(Main!A270&lt;&gt;"",CONCATENATE("&lt;div class='String_ID_ISSUE'&gt;&lt;b&gt;ID: ",Main!A270,"&lt;/b&gt; - &lt;i&gt;",Main!I270,"pt, tracking ",Main!J270,", ",Main!K270," line(s)&lt;/i&gt;&lt;/div&gt;&lt;div class=""",Main!N270,""" style='width:",Main!M270,"px; height:",Main!L270,"px'&gt;",Main!H270,"&lt;/div&gt;&lt;br&gt;",IF(Main!A271="","&lt;/body&gt;
&lt;/html&gt;","")),"")</f>
        <v/>
      </c>
    </row>
    <row r="269" spans="1:1" x14ac:dyDescent="0.25">
      <c r="A269" s="1" t="str">
        <f>IF(Main!A271&lt;&gt;"",CONCATENATE("&lt;div class='String_ID_ISSUE'&gt;&lt;b&gt;ID: ",Main!A271,"&lt;/b&gt; - &lt;i&gt;",Main!I271,"pt, tracking ",Main!J271,", ",Main!K271," line(s)&lt;/i&gt;&lt;/div&gt;&lt;div class=""",Main!N271,""" style='width:",Main!M271,"px; height:",Main!L271,"px'&gt;",Main!H271,"&lt;/div&gt;&lt;br&gt;",IF(Main!A272="","&lt;/body&gt;
&lt;/html&gt;","")),"")</f>
        <v/>
      </c>
    </row>
    <row r="270" spans="1:1" x14ac:dyDescent="0.25">
      <c r="A270" s="1" t="str">
        <f>IF(Main!A272&lt;&gt;"",CONCATENATE("&lt;div class='String_ID_ISSUE'&gt;&lt;b&gt;ID: ",Main!A272,"&lt;/b&gt; - &lt;i&gt;",Main!I272,"pt, tracking ",Main!J272,", ",Main!K272," line(s)&lt;/i&gt;&lt;/div&gt;&lt;div class=""",Main!N272,""" style='width:",Main!M272,"px; height:",Main!L272,"px'&gt;",Main!H272,"&lt;/div&gt;&lt;br&gt;",IF(Main!A273="","&lt;/body&gt;
&lt;/html&gt;","")),"")</f>
        <v/>
      </c>
    </row>
    <row r="271" spans="1:1" x14ac:dyDescent="0.25">
      <c r="A271" s="1" t="str">
        <f>IF(Main!A273&lt;&gt;"",CONCATENATE("&lt;div class='String_ID_ISSUE'&gt;&lt;b&gt;ID: ",Main!A273,"&lt;/b&gt; - &lt;i&gt;",Main!I273,"pt, tracking ",Main!J273,", ",Main!K273," line(s)&lt;/i&gt;&lt;/div&gt;&lt;div class=""",Main!N273,""" style='width:",Main!M273,"px; height:",Main!L273,"px'&gt;",Main!H273,"&lt;/div&gt;&lt;br&gt;",IF(Main!A274="","&lt;/body&gt;
&lt;/html&gt;","")),"")</f>
        <v/>
      </c>
    </row>
    <row r="272" spans="1:1" x14ac:dyDescent="0.25">
      <c r="A272" s="1" t="str">
        <f>IF(Main!A274&lt;&gt;"",CONCATENATE("&lt;div class='String_ID_ISSUE'&gt;&lt;b&gt;ID: ",Main!A274,"&lt;/b&gt; - &lt;i&gt;",Main!I274,"pt, tracking ",Main!J274,", ",Main!K274," line(s)&lt;/i&gt;&lt;/div&gt;&lt;div class=""",Main!N274,""" style='width:",Main!M274,"px; height:",Main!L274,"px'&gt;",Main!H274,"&lt;/div&gt;&lt;br&gt;",IF(Main!A275="","&lt;/body&gt;
&lt;/html&gt;","")),"")</f>
        <v/>
      </c>
    </row>
    <row r="273" spans="1:1" x14ac:dyDescent="0.25">
      <c r="A273" s="1" t="str">
        <f>IF(Main!A275&lt;&gt;"",CONCATENATE("&lt;div class='String_ID_ISSUE'&gt;&lt;b&gt;ID: ",Main!A275,"&lt;/b&gt; - &lt;i&gt;",Main!I275,"pt, tracking ",Main!J275,", ",Main!K275," line(s)&lt;/i&gt;&lt;/div&gt;&lt;div class=""",Main!N275,""" style='width:",Main!M275,"px; height:",Main!L275,"px'&gt;",Main!H275,"&lt;/div&gt;&lt;br&gt;",IF(Main!A276="","&lt;/body&gt;
&lt;/html&gt;","")),"")</f>
        <v/>
      </c>
    </row>
    <row r="274" spans="1:1" x14ac:dyDescent="0.25">
      <c r="A274" s="1" t="str">
        <f>IF(Main!A276&lt;&gt;"",CONCATENATE("&lt;div class='String_ID_ISSUE'&gt;&lt;b&gt;ID: ",Main!A276,"&lt;/b&gt; - &lt;i&gt;",Main!I276,"pt, tracking ",Main!J276,", ",Main!K276," line(s)&lt;/i&gt;&lt;/div&gt;&lt;div class=""",Main!N276,""" style='width:",Main!M276,"px; height:",Main!L276,"px'&gt;",Main!H276,"&lt;/div&gt;&lt;br&gt;",IF(Main!A277="","&lt;/body&gt;
&lt;/html&gt;","")),"")</f>
        <v/>
      </c>
    </row>
    <row r="275" spans="1:1" x14ac:dyDescent="0.25">
      <c r="A275" s="1" t="str">
        <f>IF(Main!A277&lt;&gt;"",CONCATENATE("&lt;div class='String_ID_ISSUE'&gt;&lt;b&gt;ID: ",Main!A277,"&lt;/b&gt; - &lt;i&gt;",Main!I277,"pt, tracking ",Main!J277,", ",Main!K277," line(s)&lt;/i&gt;&lt;/div&gt;&lt;div class=""",Main!N277,""" style='width:",Main!M277,"px; height:",Main!L277,"px'&gt;",Main!H277,"&lt;/div&gt;&lt;br&gt;",IF(Main!A278="","&lt;/body&gt;
&lt;/html&gt;","")),"")</f>
        <v/>
      </c>
    </row>
    <row r="276" spans="1:1" x14ac:dyDescent="0.25">
      <c r="A276" s="1" t="str">
        <f>IF(Main!A278&lt;&gt;"",CONCATENATE("&lt;div class='String_ID_ISSUE'&gt;&lt;b&gt;ID: ",Main!A278,"&lt;/b&gt; - &lt;i&gt;",Main!I278,"pt, tracking ",Main!J278,", ",Main!K278," line(s)&lt;/i&gt;&lt;/div&gt;&lt;div class=""",Main!N278,""" style='width:",Main!M278,"px; height:",Main!L278,"px'&gt;",Main!H278,"&lt;/div&gt;&lt;br&gt;",IF(Main!A279="","&lt;/body&gt;
&lt;/html&gt;","")),"")</f>
        <v/>
      </c>
    </row>
    <row r="277" spans="1:1" x14ac:dyDescent="0.25">
      <c r="A277" s="1" t="str">
        <f>IF(Main!A279&lt;&gt;"",CONCATENATE("&lt;div class='String_ID_ISSUE'&gt;&lt;b&gt;ID: ",Main!A279,"&lt;/b&gt; - &lt;i&gt;",Main!I279,"pt, tracking ",Main!J279,", ",Main!K279," line(s)&lt;/i&gt;&lt;/div&gt;&lt;div class=""",Main!N279,""" style='width:",Main!M279,"px; height:",Main!L279,"px'&gt;",Main!H279,"&lt;/div&gt;&lt;br&gt;",IF(Main!A280="","&lt;/body&gt;
&lt;/html&gt;","")),"")</f>
        <v/>
      </c>
    </row>
    <row r="278" spans="1:1" x14ac:dyDescent="0.25">
      <c r="A278" s="1" t="str">
        <f>IF(Main!A280&lt;&gt;"",CONCATENATE("&lt;div class='String_ID_ISSUE'&gt;&lt;b&gt;ID: ",Main!A280,"&lt;/b&gt; - &lt;i&gt;",Main!I280,"pt, tracking ",Main!J280,", ",Main!K280," line(s)&lt;/i&gt;&lt;/div&gt;&lt;div class=""",Main!N280,""" style='width:",Main!M280,"px; height:",Main!L280,"px'&gt;",Main!H280,"&lt;/div&gt;&lt;br&gt;",IF(Main!A281="","&lt;/body&gt;
&lt;/html&gt;","")),"")</f>
        <v/>
      </c>
    </row>
    <row r="279" spans="1:1" x14ac:dyDescent="0.25">
      <c r="A279" s="1" t="str">
        <f>IF(Main!A281&lt;&gt;"",CONCATENATE("&lt;div class='String_ID_ISSUE'&gt;&lt;b&gt;ID: ",Main!A281,"&lt;/b&gt; - &lt;i&gt;",Main!I281,"pt, tracking ",Main!J281,", ",Main!K281," line(s)&lt;/i&gt;&lt;/div&gt;&lt;div class=""",Main!N281,""" style='width:",Main!M281,"px; height:",Main!L281,"px'&gt;",Main!H281,"&lt;/div&gt;&lt;br&gt;",IF(Main!A282="","&lt;/body&gt;
&lt;/html&gt;","")),"")</f>
        <v/>
      </c>
    </row>
    <row r="280" spans="1:1" x14ac:dyDescent="0.25">
      <c r="A280" s="1" t="str">
        <f>IF(Main!A282&lt;&gt;"",CONCATENATE("&lt;div class='String_ID_ISSUE'&gt;&lt;b&gt;ID: ",Main!A282,"&lt;/b&gt; - &lt;i&gt;",Main!I282,"pt, tracking ",Main!J282,", ",Main!K282," line(s)&lt;/i&gt;&lt;/div&gt;&lt;div class=""",Main!N282,""" style='width:",Main!M282,"px; height:",Main!L282,"px'&gt;",Main!H282,"&lt;/div&gt;&lt;br&gt;",IF(Main!A283="","&lt;/body&gt;
&lt;/html&gt;","")),"")</f>
        <v/>
      </c>
    </row>
    <row r="281" spans="1:1" x14ac:dyDescent="0.25">
      <c r="A281" s="1" t="str">
        <f>IF(Main!A283&lt;&gt;"",CONCATENATE("&lt;div class='String_ID_ISSUE'&gt;&lt;b&gt;ID: ",Main!A283,"&lt;/b&gt; - &lt;i&gt;",Main!I283,"pt, tracking ",Main!J283,", ",Main!K283," line(s)&lt;/i&gt;&lt;/div&gt;&lt;div class=""",Main!N283,""" style='width:",Main!M283,"px; height:",Main!L283,"px'&gt;",Main!H283,"&lt;/div&gt;&lt;br&gt;",IF(Main!A284="","&lt;/body&gt;
&lt;/html&gt;","")),"")</f>
        <v/>
      </c>
    </row>
    <row r="282" spans="1:1" x14ac:dyDescent="0.25">
      <c r="A282" s="1" t="str">
        <f>IF(Main!A284&lt;&gt;"",CONCATENATE("&lt;div class='String_ID_ISSUE'&gt;&lt;b&gt;ID: ",Main!A284,"&lt;/b&gt; - &lt;i&gt;",Main!I284,"pt, tracking ",Main!J284,", ",Main!K284," line(s)&lt;/i&gt;&lt;/div&gt;&lt;div class=""",Main!N284,""" style='width:",Main!M284,"px; height:",Main!L284,"px'&gt;",Main!H284,"&lt;/div&gt;&lt;br&gt;",IF(Main!A285="","&lt;/body&gt;
&lt;/html&gt;","")),"")</f>
        <v/>
      </c>
    </row>
    <row r="283" spans="1:1" x14ac:dyDescent="0.25">
      <c r="A283" s="1" t="str">
        <f>IF(Main!A285&lt;&gt;"",CONCATENATE("&lt;div class='String_ID_ISSUE'&gt;&lt;b&gt;ID: ",Main!A285,"&lt;/b&gt; - &lt;i&gt;",Main!I285,"pt, tracking ",Main!J285,", ",Main!K285," line(s)&lt;/i&gt;&lt;/div&gt;&lt;div class=""",Main!N285,""" style='width:",Main!M285,"px; height:",Main!L285,"px'&gt;",Main!H285,"&lt;/div&gt;&lt;br&gt;",IF(Main!A286="","&lt;/body&gt;
&lt;/html&gt;","")),"")</f>
        <v/>
      </c>
    </row>
    <row r="284" spans="1:1" x14ac:dyDescent="0.25">
      <c r="A284" s="1" t="str">
        <f>IF(Main!A286&lt;&gt;"",CONCATENATE("&lt;div class='String_ID_ISSUE'&gt;&lt;b&gt;ID: ",Main!A286,"&lt;/b&gt; - &lt;i&gt;",Main!I286,"pt, tracking ",Main!J286,", ",Main!K286," line(s)&lt;/i&gt;&lt;/div&gt;&lt;div class=""",Main!N286,""" style='width:",Main!M286,"px; height:",Main!L286,"px'&gt;",Main!H286,"&lt;/div&gt;&lt;br&gt;",IF(Main!A287="","&lt;/body&gt;
&lt;/html&gt;","")),"")</f>
        <v/>
      </c>
    </row>
    <row r="285" spans="1:1" x14ac:dyDescent="0.25">
      <c r="A285" s="1" t="str">
        <f>IF(Main!A287&lt;&gt;"",CONCATENATE("&lt;div class='String_ID_ISSUE'&gt;&lt;b&gt;ID: ",Main!A287,"&lt;/b&gt; - &lt;i&gt;",Main!I287,"pt, tracking ",Main!J287,", ",Main!K287," line(s)&lt;/i&gt;&lt;/div&gt;&lt;div class=""",Main!N287,""" style='width:",Main!M287,"px; height:",Main!L287,"px'&gt;",Main!H287,"&lt;/div&gt;&lt;br&gt;",IF(Main!A288="","&lt;/body&gt;
&lt;/html&gt;","")),"")</f>
        <v/>
      </c>
    </row>
    <row r="286" spans="1:1" x14ac:dyDescent="0.25">
      <c r="A286" s="1" t="str">
        <f>IF(Main!A288&lt;&gt;"",CONCATENATE("&lt;div class='String_ID_ISSUE'&gt;&lt;b&gt;ID: ",Main!A288,"&lt;/b&gt; - &lt;i&gt;",Main!I288,"pt, tracking ",Main!J288,", ",Main!K288," line(s)&lt;/i&gt;&lt;/div&gt;&lt;div class=""",Main!N288,""" style='width:",Main!M288,"px; height:",Main!L288,"px'&gt;",Main!H288,"&lt;/div&gt;&lt;br&gt;",IF(Main!A289="","&lt;/body&gt;
&lt;/html&gt;","")),"")</f>
        <v/>
      </c>
    </row>
    <row r="287" spans="1:1" x14ac:dyDescent="0.25">
      <c r="A287" s="1" t="str">
        <f>IF(Main!A289&lt;&gt;"",CONCATENATE("&lt;div class='String_ID_ISSUE'&gt;&lt;b&gt;ID: ",Main!A289,"&lt;/b&gt; - &lt;i&gt;",Main!I289,"pt, tracking ",Main!J289,", ",Main!K289," line(s)&lt;/i&gt;&lt;/div&gt;&lt;div class=""",Main!N289,""" style='width:",Main!M289,"px; height:",Main!L289,"px'&gt;",Main!H289,"&lt;/div&gt;&lt;br&gt;",IF(Main!A290="","&lt;/body&gt;
&lt;/html&gt;","")),"")</f>
        <v/>
      </c>
    </row>
    <row r="288" spans="1:1" x14ac:dyDescent="0.25">
      <c r="A288" s="1" t="str">
        <f>IF(Main!A290&lt;&gt;"",CONCATENATE("&lt;div class='String_ID_ISSUE'&gt;&lt;b&gt;ID: ",Main!A290,"&lt;/b&gt; - &lt;i&gt;",Main!I290,"pt, tracking ",Main!J290,", ",Main!K290," line(s)&lt;/i&gt;&lt;/div&gt;&lt;div class=""",Main!N290,""" style='width:",Main!M290,"px; height:",Main!L290,"px'&gt;",Main!H290,"&lt;/div&gt;&lt;br&gt;",IF(Main!A291="","&lt;/body&gt;
&lt;/html&gt;","")),"")</f>
        <v/>
      </c>
    </row>
    <row r="289" spans="1:1" x14ac:dyDescent="0.25">
      <c r="A289" s="1" t="str">
        <f>IF(Main!A291&lt;&gt;"",CONCATENATE("&lt;div class='String_ID_ISSUE'&gt;&lt;b&gt;ID: ",Main!A291,"&lt;/b&gt; - &lt;i&gt;",Main!I291,"pt, tracking ",Main!J291,", ",Main!K291," line(s)&lt;/i&gt;&lt;/div&gt;&lt;div class=""",Main!N291,""" style='width:",Main!M291,"px; height:",Main!L291,"px'&gt;",Main!H291,"&lt;/div&gt;&lt;br&gt;",IF(Main!A292="","&lt;/body&gt;
&lt;/html&gt;","")),"")</f>
        <v/>
      </c>
    </row>
    <row r="290" spans="1:1" x14ac:dyDescent="0.25">
      <c r="A290" s="1" t="str">
        <f>IF(Main!A292&lt;&gt;"",CONCATENATE("&lt;div class='String_ID_ISSUE'&gt;&lt;b&gt;ID: ",Main!A292,"&lt;/b&gt; - &lt;i&gt;",Main!I292,"pt, tracking ",Main!J292,", ",Main!K292," line(s)&lt;/i&gt;&lt;/div&gt;&lt;div class=""",Main!N292,""" style='width:",Main!M292,"px; height:",Main!L292,"px'&gt;",Main!H292,"&lt;/div&gt;&lt;br&gt;",IF(Main!A293="","&lt;/body&gt;
&lt;/html&gt;","")),"")</f>
        <v/>
      </c>
    </row>
    <row r="291" spans="1:1" x14ac:dyDescent="0.25">
      <c r="A291" s="1" t="str">
        <f>IF(Main!A293&lt;&gt;"",CONCATENATE("&lt;div class='String_ID_ISSUE'&gt;&lt;b&gt;ID: ",Main!A293,"&lt;/b&gt; - &lt;i&gt;",Main!I293,"pt, tracking ",Main!J293,", ",Main!K293," line(s)&lt;/i&gt;&lt;/div&gt;&lt;div class=""",Main!N293,""" style='width:",Main!M293,"px; height:",Main!L293,"px'&gt;",Main!H293,"&lt;/div&gt;&lt;br&gt;",IF(Main!A294="","&lt;/body&gt;
&lt;/html&gt;","")),"")</f>
        <v/>
      </c>
    </row>
    <row r="292" spans="1:1" x14ac:dyDescent="0.25">
      <c r="A292" s="1" t="str">
        <f>IF(Main!A294&lt;&gt;"",CONCATENATE("&lt;div class='String_ID_ISSUE'&gt;&lt;b&gt;ID: ",Main!A294,"&lt;/b&gt; - &lt;i&gt;",Main!I294,"pt, tracking ",Main!J294,", ",Main!K294," line(s)&lt;/i&gt;&lt;/div&gt;&lt;div class=""",Main!N294,""" style='width:",Main!M294,"px; height:",Main!L294,"px'&gt;",Main!H294,"&lt;/div&gt;&lt;br&gt;",IF(Main!A295="","&lt;/body&gt;
&lt;/html&gt;","")),"")</f>
        <v/>
      </c>
    </row>
    <row r="293" spans="1:1" x14ac:dyDescent="0.25">
      <c r="A293" s="1" t="str">
        <f>IF(Main!A295&lt;&gt;"",CONCATENATE("&lt;div class='String_ID_ISSUE'&gt;&lt;b&gt;ID: ",Main!A295,"&lt;/b&gt; - &lt;i&gt;",Main!I295,"pt, tracking ",Main!J295,", ",Main!K295," line(s)&lt;/i&gt;&lt;/div&gt;&lt;div class=""",Main!N295,""" style='width:",Main!M295,"px; height:",Main!L295,"px'&gt;",Main!H295,"&lt;/div&gt;&lt;br&gt;",IF(Main!A296="","&lt;/body&gt;
&lt;/html&gt;","")),"")</f>
        <v/>
      </c>
    </row>
    <row r="294" spans="1:1" x14ac:dyDescent="0.25">
      <c r="A294" s="1" t="str">
        <f>IF(Main!A296&lt;&gt;"",CONCATENATE("&lt;div class='String_ID_ISSUE'&gt;&lt;b&gt;ID: ",Main!A296,"&lt;/b&gt; - &lt;i&gt;",Main!I296,"pt, tracking ",Main!J296,", ",Main!K296," line(s)&lt;/i&gt;&lt;/div&gt;&lt;div class=""",Main!N296,""" style='width:",Main!M296,"px; height:",Main!L296,"px'&gt;",Main!H296,"&lt;/div&gt;&lt;br&gt;",IF(Main!A297="","&lt;/body&gt;
&lt;/html&gt;","")),"")</f>
        <v/>
      </c>
    </row>
    <row r="295" spans="1:1" x14ac:dyDescent="0.25">
      <c r="A295" s="1" t="str">
        <f>IF(Main!A297&lt;&gt;"",CONCATENATE("&lt;div class='String_ID_ISSUE'&gt;&lt;b&gt;ID: ",Main!A297,"&lt;/b&gt; - &lt;i&gt;",Main!I297,"pt, tracking ",Main!J297,", ",Main!K297," line(s)&lt;/i&gt;&lt;/div&gt;&lt;div class=""",Main!N297,""" style='width:",Main!M297,"px; height:",Main!L297,"px'&gt;",Main!H297,"&lt;/div&gt;&lt;br&gt;",IF(Main!A298="","&lt;/body&gt;
&lt;/html&gt;","")),"")</f>
        <v/>
      </c>
    </row>
    <row r="296" spans="1:1" x14ac:dyDescent="0.25">
      <c r="A296" s="1" t="str">
        <f>IF(Main!A298&lt;&gt;"",CONCATENATE("&lt;div class='String_ID_ISSUE'&gt;&lt;b&gt;ID: ",Main!A298,"&lt;/b&gt; - &lt;i&gt;",Main!I298,"pt, tracking ",Main!J298,", ",Main!K298," line(s)&lt;/i&gt;&lt;/div&gt;&lt;div class=""",Main!N298,""" style='width:",Main!M298,"px; height:",Main!L298,"px'&gt;",Main!H298,"&lt;/div&gt;&lt;br&gt;",IF(Main!A299="","&lt;/body&gt;
&lt;/html&gt;","")),"")</f>
        <v/>
      </c>
    </row>
    <row r="297" spans="1:1" x14ac:dyDescent="0.25">
      <c r="A297" s="1" t="str">
        <f>IF(Main!A299&lt;&gt;"",CONCATENATE("&lt;div class='String_ID_ISSUE'&gt;&lt;b&gt;ID: ",Main!A299,"&lt;/b&gt; - &lt;i&gt;",Main!I299,"pt, tracking ",Main!J299,", ",Main!K299," line(s)&lt;/i&gt;&lt;/div&gt;&lt;div class=""",Main!N299,""" style='width:",Main!M299,"px; height:",Main!L299,"px'&gt;",Main!H299,"&lt;/div&gt;&lt;br&gt;",IF(Main!A300="","&lt;/body&gt;
&lt;/html&gt;","")),"")</f>
        <v/>
      </c>
    </row>
    <row r="298" spans="1:1" x14ac:dyDescent="0.25">
      <c r="A298" s="1" t="str">
        <f>IF(Main!A300&lt;&gt;"",CONCATENATE("&lt;div class='String_ID_ISSUE'&gt;&lt;b&gt;ID: ",Main!A300,"&lt;/b&gt; - &lt;i&gt;",Main!I300,"pt, tracking ",Main!J300,", ",Main!K300," line(s)&lt;/i&gt;&lt;/div&gt;&lt;div class=""",Main!N300,""" style='width:",Main!M300,"px; height:",Main!L300,"px'&gt;",Main!H300,"&lt;/div&gt;&lt;br&gt;",IF(Main!A301="","&lt;/body&gt;
&lt;/html&gt;","")),"")</f>
        <v/>
      </c>
    </row>
    <row r="299" spans="1:1" x14ac:dyDescent="0.25">
      <c r="A299" s="1" t="str">
        <f>IF(Main!A301&lt;&gt;"",CONCATENATE("&lt;div class='String_ID_ISSUE'&gt;&lt;b&gt;ID: ",Main!A301,"&lt;/b&gt; - &lt;i&gt;",Main!I301,"pt, tracking ",Main!J301,", ",Main!K301," line(s)&lt;/i&gt;&lt;/div&gt;&lt;div class=""",Main!N301,""" style='width:",Main!M301,"px; height:",Main!L301,"px'&gt;",Main!H301,"&lt;/div&gt;&lt;br&gt;",IF(Main!A302="","&lt;/body&gt;
&lt;/html&gt;","")),"")</f>
        <v/>
      </c>
    </row>
    <row r="300" spans="1:1" x14ac:dyDescent="0.25">
      <c r="A300" s="1" t="str">
        <f>IF(Main!A302&lt;&gt;"",CONCATENATE("&lt;div class='String_ID_ISSUE'&gt;&lt;b&gt;ID: ",Main!A302,"&lt;/b&gt; - &lt;i&gt;",Main!I302,"pt, tracking ",Main!J302,", ",Main!K302," line(s)&lt;/i&gt;&lt;/div&gt;&lt;div class=""",Main!N302,""" style='width:",Main!M302,"px; height:",Main!L302,"px'&gt;",Main!H302,"&lt;/div&gt;&lt;br&gt;",IF(Main!A303="","&lt;/body&gt;
&lt;/html&gt;","")),"")</f>
        <v/>
      </c>
    </row>
    <row r="301" spans="1:1" x14ac:dyDescent="0.25">
      <c r="A301" s="1" t="str">
        <f>IF(Main!A303&lt;&gt;"",CONCATENATE("&lt;div class='String_ID_ISSUE'&gt;&lt;b&gt;ID: ",Main!A303,"&lt;/b&gt; - &lt;i&gt;",Main!I303,"pt, tracking ",Main!J303,", ",Main!K303," line(s)&lt;/i&gt;&lt;/div&gt;&lt;div class=""",Main!N303,""" style='width:",Main!M303,"px; height:",Main!L303,"px'&gt;",Main!H303,"&lt;/div&gt;&lt;br&gt;",IF(Main!A304="","&lt;/body&gt;
&lt;/html&gt;","")),"")</f>
        <v/>
      </c>
    </row>
    <row r="302" spans="1:1" x14ac:dyDescent="0.25">
      <c r="A302" s="1" t="str">
        <f>IF(Main!A304&lt;&gt;"",CONCATENATE("&lt;div class='String_ID_ISSUE'&gt;&lt;b&gt;ID: ",Main!A304,"&lt;/b&gt; - &lt;i&gt;",Main!I304,"pt, tracking ",Main!J304,", ",Main!K304," line(s)&lt;/i&gt;&lt;/div&gt;&lt;div class=""",Main!N304,""" style='width:",Main!M304,"px; height:",Main!L304,"px'&gt;",Main!H304,"&lt;/div&gt;&lt;br&gt;",IF(Main!A305="","&lt;/body&gt;
&lt;/html&gt;","")),"")</f>
        <v/>
      </c>
    </row>
    <row r="303" spans="1:1" x14ac:dyDescent="0.25">
      <c r="A303" s="1" t="str">
        <f>IF(Main!A305&lt;&gt;"",CONCATENATE("&lt;div class='String_ID_ISSUE'&gt;&lt;b&gt;ID: ",Main!A305,"&lt;/b&gt; - &lt;i&gt;",Main!I305,"pt, tracking ",Main!J305,", ",Main!K305," line(s)&lt;/i&gt;&lt;/div&gt;&lt;div class=""",Main!N305,""" style='width:",Main!M305,"px; height:",Main!L305,"px'&gt;",Main!H305,"&lt;/div&gt;&lt;br&gt;",IF(Main!A306="","&lt;/body&gt;
&lt;/html&gt;","")),"")</f>
        <v/>
      </c>
    </row>
    <row r="304" spans="1:1" x14ac:dyDescent="0.25">
      <c r="A304" s="1" t="str">
        <f>IF(Main!A306&lt;&gt;"",CONCATENATE("&lt;div class='String_ID_ISSUE'&gt;&lt;b&gt;ID: ",Main!A306,"&lt;/b&gt; - &lt;i&gt;",Main!I306,"pt, tracking ",Main!J306,", ",Main!K306," line(s)&lt;/i&gt;&lt;/div&gt;&lt;div class=""",Main!N306,""" style='width:",Main!M306,"px; height:",Main!L306,"px'&gt;",Main!H306,"&lt;/div&gt;&lt;br&gt;",IF(Main!A307="","&lt;/body&gt;
&lt;/html&gt;","")),"")</f>
        <v/>
      </c>
    </row>
    <row r="305" spans="1:1" x14ac:dyDescent="0.25">
      <c r="A305" s="1" t="str">
        <f>IF(Main!A307&lt;&gt;"",CONCATENATE("&lt;div class='String_ID_ISSUE'&gt;&lt;b&gt;ID: ",Main!A307,"&lt;/b&gt; - &lt;i&gt;",Main!I307,"pt, tracking ",Main!J307,", ",Main!K307," line(s)&lt;/i&gt;&lt;/div&gt;&lt;div class=""",Main!N307,""" style='width:",Main!M307,"px; height:",Main!L307,"px'&gt;",Main!H307,"&lt;/div&gt;&lt;br&gt;",IF(Main!A308="","&lt;/body&gt;
&lt;/html&gt;","")),"")</f>
        <v/>
      </c>
    </row>
    <row r="306" spans="1:1" x14ac:dyDescent="0.25">
      <c r="A306" s="1" t="str">
        <f>IF(Main!A308&lt;&gt;"",CONCATENATE("&lt;div class='String_ID_ISSUE'&gt;&lt;b&gt;ID: ",Main!A308,"&lt;/b&gt; - &lt;i&gt;",Main!I308,"pt, tracking ",Main!J308,", ",Main!K308," line(s)&lt;/i&gt;&lt;/div&gt;&lt;div class=""",Main!N308,""" style='width:",Main!M308,"px; height:",Main!L308,"px'&gt;",Main!H308,"&lt;/div&gt;&lt;br&gt;",IF(Main!A309="","&lt;/body&gt;
&lt;/html&gt;","")),"")</f>
        <v/>
      </c>
    </row>
    <row r="307" spans="1:1" x14ac:dyDescent="0.25">
      <c r="A307" s="1" t="str">
        <f>IF(Main!A309&lt;&gt;"",CONCATENATE("&lt;div class='String_ID_ISSUE'&gt;&lt;b&gt;ID: ",Main!A309,"&lt;/b&gt; - &lt;i&gt;",Main!I309,"pt, tracking ",Main!J309,", ",Main!K309," line(s)&lt;/i&gt;&lt;/div&gt;&lt;div class=""",Main!N309,""" style='width:",Main!M309,"px; height:",Main!L309,"px'&gt;",Main!H309,"&lt;/div&gt;&lt;br&gt;",IF(Main!A310="","&lt;/body&gt;
&lt;/html&gt;","")),"")</f>
        <v/>
      </c>
    </row>
    <row r="308" spans="1:1" x14ac:dyDescent="0.25">
      <c r="A308" s="1" t="str">
        <f>IF(Main!A310&lt;&gt;"",CONCATENATE("&lt;div class='String_ID_ISSUE'&gt;&lt;b&gt;ID: ",Main!A310,"&lt;/b&gt; - &lt;i&gt;",Main!I310,"pt, tracking ",Main!J310,", ",Main!K310," line(s)&lt;/i&gt;&lt;/div&gt;&lt;div class=""",Main!N310,""" style='width:",Main!M310,"px; height:",Main!L310,"px'&gt;",Main!H310,"&lt;/div&gt;&lt;br&gt;",IF(Main!A311="","&lt;/body&gt;
&lt;/html&gt;","")),"")</f>
        <v/>
      </c>
    </row>
    <row r="309" spans="1:1" x14ac:dyDescent="0.25">
      <c r="A309" s="1" t="str">
        <f>IF(Main!A311&lt;&gt;"",CONCATENATE("&lt;div class='String_ID_ISSUE'&gt;&lt;b&gt;ID: ",Main!A311,"&lt;/b&gt; - &lt;i&gt;",Main!I311,"pt, tracking ",Main!J311,", ",Main!K311," line(s)&lt;/i&gt;&lt;/div&gt;&lt;div class=""",Main!N311,""" style='width:",Main!M311,"px; height:",Main!L311,"px'&gt;",Main!H311,"&lt;/div&gt;&lt;br&gt;",IF(Main!A312="","&lt;/body&gt;
&lt;/html&gt;","")),"")</f>
        <v/>
      </c>
    </row>
    <row r="310" spans="1:1" x14ac:dyDescent="0.25">
      <c r="A310" s="1" t="str">
        <f>IF(Main!A312&lt;&gt;"",CONCATENATE("&lt;div class='String_ID_ISSUE'&gt;&lt;b&gt;ID: ",Main!A312,"&lt;/b&gt; - &lt;i&gt;",Main!I312,"pt, tracking ",Main!J312,", ",Main!K312," line(s)&lt;/i&gt;&lt;/div&gt;&lt;div class=""",Main!N312,""" style='width:",Main!M312,"px; height:",Main!L312,"px'&gt;",Main!H312,"&lt;/div&gt;&lt;br&gt;",IF(Main!A313="","&lt;/body&gt;
&lt;/html&gt;","")),"")</f>
        <v/>
      </c>
    </row>
    <row r="311" spans="1:1" x14ac:dyDescent="0.25">
      <c r="A311" s="1" t="str">
        <f>IF(Main!A313&lt;&gt;"",CONCATENATE("&lt;div class='String_ID_ISSUE'&gt;&lt;b&gt;ID: ",Main!A313,"&lt;/b&gt; - &lt;i&gt;",Main!I313,"pt, tracking ",Main!J313,", ",Main!K313," line(s)&lt;/i&gt;&lt;/div&gt;&lt;div class=""",Main!N313,""" style='width:",Main!M313,"px; height:",Main!L313,"px'&gt;",Main!H313,"&lt;/div&gt;&lt;br&gt;",IF(Main!A314="","&lt;/body&gt;
&lt;/html&gt;","")),"")</f>
        <v/>
      </c>
    </row>
    <row r="312" spans="1:1" x14ac:dyDescent="0.25">
      <c r="A312" s="1" t="str">
        <f>IF(Main!A314&lt;&gt;"",CONCATENATE("&lt;div class='String_ID_ISSUE'&gt;&lt;b&gt;ID: ",Main!A314,"&lt;/b&gt; - &lt;i&gt;",Main!I314,"pt, tracking ",Main!J314,", ",Main!K314," line(s)&lt;/i&gt;&lt;/div&gt;&lt;div class=""",Main!N314,""" style='width:",Main!M314,"px; height:",Main!L314,"px'&gt;",Main!H314,"&lt;/div&gt;&lt;br&gt;",IF(Main!A315="","&lt;/body&gt;
&lt;/html&gt;","")),"")</f>
        <v/>
      </c>
    </row>
    <row r="313" spans="1:1" x14ac:dyDescent="0.25">
      <c r="A313" s="1" t="str">
        <f>IF(Main!A315&lt;&gt;"",CONCATENATE("&lt;div class='String_ID_ISSUE'&gt;&lt;b&gt;ID: ",Main!A315,"&lt;/b&gt; - &lt;i&gt;",Main!I315,"pt, tracking ",Main!J315,", ",Main!K315," line(s)&lt;/i&gt;&lt;/div&gt;&lt;div class=""",Main!N315,""" style='width:",Main!M315,"px; height:",Main!L315,"px'&gt;",Main!H315,"&lt;/div&gt;&lt;br&gt;",IF(Main!A316="","&lt;/body&gt;
&lt;/html&gt;","")),"")</f>
        <v/>
      </c>
    </row>
    <row r="314" spans="1:1" x14ac:dyDescent="0.25">
      <c r="A314" s="1" t="str">
        <f>IF(Main!A316&lt;&gt;"",CONCATENATE("&lt;div class='String_ID_ISSUE'&gt;&lt;b&gt;ID: ",Main!A316,"&lt;/b&gt; - &lt;i&gt;",Main!I316,"pt, tracking ",Main!J316,", ",Main!K316," line(s)&lt;/i&gt;&lt;/div&gt;&lt;div class=""",Main!N316,""" style='width:",Main!M316,"px; height:",Main!L316,"px'&gt;",Main!H316,"&lt;/div&gt;&lt;br&gt;",IF(Main!A317="","&lt;/body&gt;
&lt;/html&gt;","")),"")</f>
        <v/>
      </c>
    </row>
    <row r="315" spans="1:1" x14ac:dyDescent="0.25">
      <c r="A315" s="1" t="str">
        <f>IF(Main!A317&lt;&gt;"",CONCATENATE("&lt;div class='String_ID_ISSUE'&gt;&lt;b&gt;ID: ",Main!A317,"&lt;/b&gt; - &lt;i&gt;",Main!I317,"pt, tracking ",Main!J317,", ",Main!K317," line(s)&lt;/i&gt;&lt;/div&gt;&lt;div class=""",Main!N317,""" style='width:",Main!M317,"px; height:",Main!L317,"px'&gt;",Main!H317,"&lt;/div&gt;&lt;br&gt;",IF(Main!A318="","&lt;/body&gt;
&lt;/html&gt;","")),"")</f>
        <v/>
      </c>
    </row>
    <row r="316" spans="1:1" x14ac:dyDescent="0.25">
      <c r="A316" s="1" t="str">
        <f>IF(Main!A318&lt;&gt;"",CONCATENATE("&lt;div class='String_ID_ISSUE'&gt;&lt;b&gt;ID: ",Main!A318,"&lt;/b&gt; - &lt;i&gt;",Main!I318,"pt, tracking ",Main!J318,", ",Main!K318," line(s)&lt;/i&gt;&lt;/div&gt;&lt;div class=""",Main!N318,""" style='width:",Main!M318,"px; height:",Main!L318,"px'&gt;",Main!H318,"&lt;/div&gt;&lt;br&gt;",IF(Main!A319="","&lt;/body&gt;
&lt;/html&gt;","")),"")</f>
        <v/>
      </c>
    </row>
    <row r="317" spans="1:1" x14ac:dyDescent="0.25">
      <c r="A317" s="1" t="str">
        <f>IF(Main!A319&lt;&gt;"",CONCATENATE("&lt;div class='String_ID_ISSUE'&gt;&lt;b&gt;ID: ",Main!A319,"&lt;/b&gt; - &lt;i&gt;",Main!I319,"pt, tracking ",Main!J319,", ",Main!K319," line(s)&lt;/i&gt;&lt;/div&gt;&lt;div class=""",Main!N319,""" style='width:",Main!M319,"px; height:",Main!L319,"px'&gt;",Main!H319,"&lt;/div&gt;&lt;br&gt;",IF(Main!A320="","&lt;/body&gt;
&lt;/html&gt;","")),"")</f>
        <v/>
      </c>
    </row>
    <row r="318" spans="1:1" x14ac:dyDescent="0.25">
      <c r="A318" s="1" t="str">
        <f>IF(Main!A320&lt;&gt;"",CONCATENATE("&lt;div class='String_ID_ISSUE'&gt;&lt;b&gt;ID: ",Main!A320,"&lt;/b&gt; - &lt;i&gt;",Main!I320,"pt, tracking ",Main!J320,", ",Main!K320," line(s)&lt;/i&gt;&lt;/div&gt;&lt;div class=""",Main!N320,""" style='width:",Main!M320,"px; height:",Main!L320,"px'&gt;",Main!H320,"&lt;/div&gt;&lt;br&gt;",IF(Main!A321="","&lt;/body&gt;
&lt;/html&gt;","")),"")</f>
        <v/>
      </c>
    </row>
    <row r="319" spans="1:1" x14ac:dyDescent="0.25">
      <c r="A319" s="1" t="str">
        <f>IF(Main!A321&lt;&gt;"",CONCATENATE("&lt;div class='String_ID_ISSUE'&gt;&lt;b&gt;ID: ",Main!A321,"&lt;/b&gt; - &lt;i&gt;",Main!I321,"pt, tracking ",Main!J321,", ",Main!K321," line(s)&lt;/i&gt;&lt;/div&gt;&lt;div class=""",Main!N321,""" style='width:",Main!M321,"px; height:",Main!L321,"px'&gt;",Main!H321,"&lt;/div&gt;&lt;br&gt;",IF(Main!A322="","&lt;/body&gt;
&lt;/html&gt;","")),"")</f>
        <v/>
      </c>
    </row>
    <row r="320" spans="1:1" x14ac:dyDescent="0.25">
      <c r="A320" s="1" t="str">
        <f>IF(Main!A322&lt;&gt;"",CONCATENATE("&lt;div class='String_ID_ISSUE'&gt;&lt;b&gt;ID: ",Main!A322,"&lt;/b&gt; - &lt;i&gt;",Main!I322,"pt, tracking ",Main!J322,", ",Main!K322," line(s)&lt;/i&gt;&lt;/div&gt;&lt;div class=""",Main!N322,""" style='width:",Main!M322,"px; height:",Main!L322,"px'&gt;",Main!H322,"&lt;/div&gt;&lt;br&gt;",IF(Main!A323="","&lt;/body&gt;
&lt;/html&gt;","")),"")</f>
        <v/>
      </c>
    </row>
    <row r="321" spans="1:1" x14ac:dyDescent="0.25">
      <c r="A321" s="1" t="str">
        <f>IF(Main!A323&lt;&gt;"",CONCATENATE("&lt;div class='String_ID_ISSUE'&gt;&lt;b&gt;ID: ",Main!A323,"&lt;/b&gt; - &lt;i&gt;",Main!I323,"pt, tracking ",Main!J323,", ",Main!K323," line(s)&lt;/i&gt;&lt;/div&gt;&lt;div class=""",Main!N323,""" style='width:",Main!M323,"px; height:",Main!L323,"px'&gt;",Main!H323,"&lt;/div&gt;&lt;br&gt;",IF(Main!A324="","&lt;/body&gt;
&lt;/html&gt;","")),"")</f>
        <v/>
      </c>
    </row>
    <row r="322" spans="1:1" x14ac:dyDescent="0.25">
      <c r="A322" s="1" t="str">
        <f>IF(Main!A324&lt;&gt;"",CONCATENATE("&lt;div class='String_ID_ISSUE'&gt;&lt;b&gt;ID: ",Main!A324,"&lt;/b&gt; - &lt;i&gt;",Main!I324,"pt, tracking ",Main!J324,", ",Main!K324," line(s)&lt;/i&gt;&lt;/div&gt;&lt;div class=""",Main!N324,""" style='width:",Main!M324,"px; height:",Main!L324,"px'&gt;",Main!H324,"&lt;/div&gt;&lt;br&gt;",IF(Main!A325="","&lt;/body&gt;
&lt;/html&gt;","")),"")</f>
        <v/>
      </c>
    </row>
    <row r="323" spans="1:1" x14ac:dyDescent="0.25">
      <c r="A323" s="1" t="str">
        <f>IF(Main!A325&lt;&gt;"",CONCATENATE("&lt;div class='String_ID_ISSUE'&gt;&lt;b&gt;ID: ",Main!A325,"&lt;/b&gt; - &lt;i&gt;",Main!I325,"pt, tracking ",Main!J325,", ",Main!K325," line(s)&lt;/i&gt;&lt;/div&gt;&lt;div class=""",Main!N325,""" style='width:",Main!M325,"px; height:",Main!L325,"px'&gt;",Main!H325,"&lt;/div&gt;&lt;br&gt;",IF(Main!A326="","&lt;/body&gt;
&lt;/html&gt;","")),"")</f>
        <v/>
      </c>
    </row>
    <row r="324" spans="1:1" x14ac:dyDescent="0.25">
      <c r="A324" s="1" t="str">
        <f>IF(Main!A326&lt;&gt;"",CONCATENATE("&lt;div class='String_ID_ISSUE'&gt;&lt;b&gt;ID: ",Main!A326,"&lt;/b&gt; - &lt;i&gt;",Main!I326,"pt, tracking ",Main!J326,", ",Main!K326," line(s)&lt;/i&gt;&lt;/div&gt;&lt;div class=""",Main!N326,""" style='width:",Main!M326,"px; height:",Main!L326,"px'&gt;",Main!H326,"&lt;/div&gt;&lt;br&gt;",IF(Main!A327="","&lt;/body&gt;
&lt;/html&gt;","")),"")</f>
        <v/>
      </c>
    </row>
    <row r="325" spans="1:1" x14ac:dyDescent="0.25">
      <c r="A325" s="1" t="str">
        <f>IF(Main!A327&lt;&gt;"",CONCATENATE("&lt;div class='String_ID_ISSUE'&gt;&lt;b&gt;ID: ",Main!A327,"&lt;/b&gt; - &lt;i&gt;",Main!I327,"pt, tracking ",Main!J327,", ",Main!K327," line(s)&lt;/i&gt;&lt;/div&gt;&lt;div class=""",Main!N327,""" style='width:",Main!M327,"px; height:",Main!L327,"px'&gt;",Main!H327,"&lt;/div&gt;&lt;br&gt;",IF(Main!A328="","&lt;/body&gt;
&lt;/html&gt;","")),"")</f>
        <v/>
      </c>
    </row>
    <row r="326" spans="1:1" x14ac:dyDescent="0.25">
      <c r="A326" s="1" t="str">
        <f>IF(Main!A328&lt;&gt;"",CONCATENATE("&lt;div class='String_ID_ISSUE'&gt;&lt;b&gt;ID: ",Main!A328,"&lt;/b&gt; - &lt;i&gt;",Main!I328,"pt, tracking ",Main!J328,", ",Main!K328," line(s)&lt;/i&gt;&lt;/div&gt;&lt;div class=""",Main!N328,""" style='width:",Main!M328,"px; height:",Main!L328,"px'&gt;",Main!H328,"&lt;/div&gt;&lt;br&gt;",IF(Main!A329="","&lt;/body&gt;
&lt;/html&gt;","")),"")</f>
        <v/>
      </c>
    </row>
    <row r="327" spans="1:1" x14ac:dyDescent="0.25">
      <c r="A327" s="1" t="str">
        <f>IF(Main!A329&lt;&gt;"",CONCATENATE("&lt;div class='String_ID_ISSUE'&gt;&lt;b&gt;ID: ",Main!A329,"&lt;/b&gt; - &lt;i&gt;",Main!I329,"pt, tracking ",Main!J329,", ",Main!K329," line(s)&lt;/i&gt;&lt;/div&gt;&lt;div class=""",Main!N329,""" style='width:",Main!M329,"px; height:",Main!L329,"px'&gt;",Main!H329,"&lt;/div&gt;&lt;br&gt;",IF(Main!A330="","&lt;/body&gt;
&lt;/html&gt;","")),"")</f>
        <v/>
      </c>
    </row>
    <row r="328" spans="1:1" x14ac:dyDescent="0.25">
      <c r="A328" s="1" t="str">
        <f>IF(Main!A330&lt;&gt;"",CONCATENATE("&lt;div class='String_ID_ISSUE'&gt;&lt;b&gt;ID: ",Main!A330,"&lt;/b&gt; - &lt;i&gt;",Main!I330,"pt, tracking ",Main!J330,", ",Main!K330," line(s)&lt;/i&gt;&lt;/div&gt;&lt;div class=""",Main!N330,""" style='width:",Main!M330,"px; height:",Main!L330,"px'&gt;",Main!H330,"&lt;/div&gt;&lt;br&gt;",IF(Main!A331="","&lt;/body&gt;
&lt;/html&gt;","")),"")</f>
        <v/>
      </c>
    </row>
    <row r="329" spans="1:1" x14ac:dyDescent="0.25">
      <c r="A329" s="1" t="str">
        <f>IF(Main!A331&lt;&gt;"",CONCATENATE("&lt;div class='String_ID_ISSUE'&gt;&lt;b&gt;ID: ",Main!A331,"&lt;/b&gt; - &lt;i&gt;",Main!I331,"pt, tracking ",Main!J331,", ",Main!K331," line(s)&lt;/i&gt;&lt;/div&gt;&lt;div class=""",Main!N331,""" style='width:",Main!M331,"px; height:",Main!L331,"px'&gt;",Main!H331,"&lt;/div&gt;&lt;br&gt;",IF(Main!A332="","&lt;/body&gt;
&lt;/html&gt;","")),"")</f>
        <v/>
      </c>
    </row>
    <row r="330" spans="1:1" x14ac:dyDescent="0.25">
      <c r="A330" s="1" t="str">
        <f>IF(Main!A332&lt;&gt;"",CONCATENATE("&lt;div class='String_ID_ISSUE'&gt;&lt;b&gt;ID: ",Main!A332,"&lt;/b&gt; - &lt;i&gt;",Main!I332,"pt, tracking ",Main!J332,", ",Main!K332," line(s)&lt;/i&gt;&lt;/div&gt;&lt;div class=""",Main!N332,""" style='width:",Main!M332,"px; height:",Main!L332,"px'&gt;",Main!H332,"&lt;/div&gt;&lt;br&gt;",IF(Main!A333="","&lt;/body&gt;
&lt;/html&gt;","")),"")</f>
        <v/>
      </c>
    </row>
    <row r="331" spans="1:1" x14ac:dyDescent="0.25">
      <c r="A331" s="1" t="str">
        <f>IF(Main!A333&lt;&gt;"",CONCATENATE("&lt;div class='String_ID_ISSUE'&gt;&lt;b&gt;ID: ",Main!A333,"&lt;/b&gt; - &lt;i&gt;",Main!I333,"pt, tracking ",Main!J333,", ",Main!K333," line(s)&lt;/i&gt;&lt;/div&gt;&lt;div class=""",Main!N333,""" style='width:",Main!M333,"px; height:",Main!L333,"px'&gt;",Main!H333,"&lt;/div&gt;&lt;br&gt;",IF(Main!A334="","&lt;/body&gt;
&lt;/html&gt;","")),"")</f>
        <v/>
      </c>
    </row>
    <row r="332" spans="1:1" x14ac:dyDescent="0.25">
      <c r="A332" s="1" t="str">
        <f>IF(Main!A334&lt;&gt;"",CONCATENATE("&lt;div class='String_ID_ISSUE'&gt;&lt;b&gt;ID: ",Main!A334,"&lt;/b&gt; - &lt;i&gt;",Main!I334,"pt, tracking ",Main!J334,", ",Main!K334," line(s)&lt;/i&gt;&lt;/div&gt;&lt;div class=""",Main!N334,""" style='width:",Main!M334,"px; height:",Main!L334,"px'&gt;",Main!H334,"&lt;/div&gt;&lt;br&gt;",IF(Main!A335="","&lt;/body&gt;
&lt;/html&gt;","")),"")</f>
        <v/>
      </c>
    </row>
    <row r="333" spans="1:1" x14ac:dyDescent="0.25">
      <c r="A333" s="1" t="str">
        <f>IF(Main!A335&lt;&gt;"",CONCATENATE("&lt;div class='String_ID_ISSUE'&gt;&lt;b&gt;ID: ",Main!A335,"&lt;/b&gt; - &lt;i&gt;",Main!I335,"pt, tracking ",Main!J335,", ",Main!K335," line(s)&lt;/i&gt;&lt;/div&gt;&lt;div class=""",Main!N335,""" style='width:",Main!M335,"px; height:",Main!L335,"px'&gt;",Main!H335,"&lt;/div&gt;&lt;br&gt;",IF(Main!A336="","&lt;/body&gt;
&lt;/html&gt;","")),"")</f>
        <v/>
      </c>
    </row>
    <row r="334" spans="1:1" x14ac:dyDescent="0.25">
      <c r="A334" s="1" t="str">
        <f>IF(Main!A336&lt;&gt;"",CONCATENATE("&lt;div class='String_ID_ISSUE'&gt;&lt;b&gt;ID: ",Main!A336,"&lt;/b&gt; - &lt;i&gt;",Main!I336,"pt, tracking ",Main!J336,", ",Main!K336," line(s)&lt;/i&gt;&lt;/div&gt;&lt;div class=""",Main!N336,""" style='width:",Main!M336,"px; height:",Main!L336,"px'&gt;",Main!H336,"&lt;/div&gt;&lt;br&gt;",IF(Main!A337="","&lt;/body&gt;
&lt;/html&gt;","")),"")</f>
        <v/>
      </c>
    </row>
    <row r="335" spans="1:1" x14ac:dyDescent="0.25">
      <c r="A335" s="1" t="str">
        <f>IF(Main!A337&lt;&gt;"",CONCATENATE("&lt;div class='String_ID_ISSUE'&gt;&lt;b&gt;ID: ",Main!A337,"&lt;/b&gt; - &lt;i&gt;",Main!I337,"pt, tracking ",Main!J337,", ",Main!K337," line(s)&lt;/i&gt;&lt;/div&gt;&lt;div class=""",Main!N337,""" style='width:",Main!M337,"px; height:",Main!L337,"px'&gt;",Main!H337,"&lt;/div&gt;&lt;br&gt;",IF(Main!A338="","&lt;/body&gt;
&lt;/html&gt;","")),"")</f>
        <v/>
      </c>
    </row>
    <row r="336" spans="1:1" x14ac:dyDescent="0.25">
      <c r="A336" s="1" t="str">
        <f>IF(Main!A338&lt;&gt;"",CONCATENATE("&lt;div class='String_ID_ISSUE'&gt;&lt;b&gt;ID: ",Main!A338,"&lt;/b&gt; - &lt;i&gt;",Main!I338,"pt, tracking ",Main!J338,", ",Main!K338," line(s)&lt;/i&gt;&lt;/div&gt;&lt;div class=""",Main!N338,""" style='width:",Main!M338,"px; height:",Main!L338,"px'&gt;",Main!H338,"&lt;/div&gt;&lt;br&gt;",IF(Main!A339="","&lt;/body&gt;
&lt;/html&gt;","")),"")</f>
        <v/>
      </c>
    </row>
    <row r="337" spans="1:1" x14ac:dyDescent="0.25">
      <c r="A337" s="1" t="str">
        <f>IF(Main!A339&lt;&gt;"",CONCATENATE("&lt;div class='String_ID_ISSUE'&gt;&lt;b&gt;ID: ",Main!A339,"&lt;/b&gt; - &lt;i&gt;",Main!I339,"pt, tracking ",Main!J339,", ",Main!K339," line(s)&lt;/i&gt;&lt;/div&gt;&lt;div class=""",Main!N339,""" style='width:",Main!M339,"px; height:",Main!L339,"px'&gt;",Main!H339,"&lt;/div&gt;&lt;br&gt;",IF(Main!A340="","&lt;/body&gt;
&lt;/html&gt;","")),"")</f>
        <v/>
      </c>
    </row>
    <row r="338" spans="1:1" x14ac:dyDescent="0.25">
      <c r="A338" s="1" t="str">
        <f>IF(Main!A340&lt;&gt;"",CONCATENATE("&lt;div class='String_ID_ISSUE'&gt;&lt;b&gt;ID: ",Main!A340,"&lt;/b&gt; - &lt;i&gt;",Main!I340,"pt, tracking ",Main!J340,", ",Main!K340," line(s)&lt;/i&gt;&lt;/div&gt;&lt;div class=""",Main!N340,""" style='width:",Main!M340,"px; height:",Main!L340,"px'&gt;",Main!H340,"&lt;/div&gt;&lt;br&gt;",IF(Main!A341="","&lt;/body&gt;
&lt;/html&gt;","")),"")</f>
        <v/>
      </c>
    </row>
    <row r="339" spans="1:1" x14ac:dyDescent="0.25">
      <c r="A339" s="1" t="str">
        <f>IF(Main!A341&lt;&gt;"",CONCATENATE("&lt;div class='String_ID_ISSUE'&gt;&lt;b&gt;ID: ",Main!A341,"&lt;/b&gt; - &lt;i&gt;",Main!I341,"pt, tracking ",Main!J341,", ",Main!K341," line(s)&lt;/i&gt;&lt;/div&gt;&lt;div class=""",Main!N341,""" style='width:",Main!M341,"px; height:",Main!L341,"px'&gt;",Main!H341,"&lt;/div&gt;&lt;br&gt;",IF(Main!A342="","&lt;/body&gt;
&lt;/html&gt;","")),"")</f>
        <v/>
      </c>
    </row>
    <row r="340" spans="1:1" x14ac:dyDescent="0.25">
      <c r="A340" s="1" t="str">
        <f>IF(Main!A342&lt;&gt;"",CONCATENATE("&lt;div class='String_ID_ISSUE'&gt;&lt;b&gt;ID: ",Main!A342,"&lt;/b&gt; - &lt;i&gt;",Main!I342,"pt, tracking ",Main!J342,", ",Main!K342," line(s)&lt;/i&gt;&lt;/div&gt;&lt;div class=""",Main!N342,""" style='width:",Main!M342,"px; height:",Main!L342,"px'&gt;",Main!H342,"&lt;/div&gt;&lt;br&gt;",IF(Main!A343="","&lt;/body&gt;
&lt;/html&gt;","")),"")</f>
        <v/>
      </c>
    </row>
    <row r="341" spans="1:1" x14ac:dyDescent="0.25">
      <c r="A341" s="1" t="str">
        <f>IF(Main!A343&lt;&gt;"",CONCATENATE("&lt;div class='String_ID_ISSUE'&gt;&lt;b&gt;ID: ",Main!A343,"&lt;/b&gt; - &lt;i&gt;",Main!I343,"pt, tracking ",Main!J343,", ",Main!K343," line(s)&lt;/i&gt;&lt;/div&gt;&lt;div class=""",Main!N343,""" style='width:",Main!M343,"px; height:",Main!L343,"px'&gt;",Main!H343,"&lt;/div&gt;&lt;br&gt;",IF(Main!A344="","&lt;/body&gt;
&lt;/html&gt;","")),"")</f>
        <v/>
      </c>
    </row>
    <row r="342" spans="1:1" x14ac:dyDescent="0.25">
      <c r="A342" s="1" t="str">
        <f>IF(Main!A344&lt;&gt;"",CONCATENATE("&lt;div class='String_ID_ISSUE'&gt;&lt;b&gt;ID: ",Main!A344,"&lt;/b&gt; - &lt;i&gt;",Main!I344,"pt, tracking ",Main!J344,", ",Main!K344," line(s)&lt;/i&gt;&lt;/div&gt;&lt;div class=""",Main!N344,""" style='width:",Main!M344,"px; height:",Main!L344,"px'&gt;",Main!H344,"&lt;/div&gt;&lt;br&gt;",IF(Main!A345="","&lt;/body&gt;
&lt;/html&gt;","")),"")</f>
        <v/>
      </c>
    </row>
    <row r="343" spans="1:1" x14ac:dyDescent="0.25">
      <c r="A343" s="1" t="str">
        <f>IF(Main!A345&lt;&gt;"",CONCATENATE("&lt;div class='String_ID_ISSUE'&gt;&lt;b&gt;ID: ",Main!A345,"&lt;/b&gt; - &lt;i&gt;",Main!I345,"pt, tracking ",Main!J345,", ",Main!K345," line(s)&lt;/i&gt;&lt;/div&gt;&lt;div class=""",Main!N345,""" style='width:",Main!M345,"px; height:",Main!L345,"px'&gt;",Main!H345,"&lt;/div&gt;&lt;br&gt;",IF(Main!A346="","&lt;/body&gt;
&lt;/html&gt;","")),"")</f>
        <v/>
      </c>
    </row>
    <row r="344" spans="1:1" x14ac:dyDescent="0.25">
      <c r="A344" s="1" t="str">
        <f>IF(Main!A346&lt;&gt;"",CONCATENATE("&lt;div class='String_ID_ISSUE'&gt;&lt;b&gt;ID: ",Main!A346,"&lt;/b&gt; - &lt;i&gt;",Main!I346,"pt, tracking ",Main!J346,", ",Main!K346," line(s)&lt;/i&gt;&lt;/div&gt;&lt;div class=""",Main!N346,""" style='width:",Main!M346,"px; height:",Main!L346,"px'&gt;",Main!H346,"&lt;/div&gt;&lt;br&gt;",IF(Main!A347="","&lt;/body&gt;
&lt;/html&gt;","")),"")</f>
        <v/>
      </c>
    </row>
    <row r="345" spans="1:1" x14ac:dyDescent="0.25">
      <c r="A345" s="1" t="str">
        <f>IF(Main!A347&lt;&gt;"",CONCATENATE("&lt;div class='String_ID_ISSUE'&gt;&lt;b&gt;ID: ",Main!A347,"&lt;/b&gt; - &lt;i&gt;",Main!I347,"pt, tracking ",Main!J347,", ",Main!K347," line(s)&lt;/i&gt;&lt;/div&gt;&lt;div class=""",Main!N347,""" style='width:",Main!M347,"px; height:",Main!L347,"px'&gt;",Main!H347,"&lt;/div&gt;&lt;br&gt;",IF(Main!A348="","&lt;/body&gt;
&lt;/html&gt;","")),"")</f>
        <v/>
      </c>
    </row>
    <row r="346" spans="1:1" x14ac:dyDescent="0.25">
      <c r="A346" s="1" t="str">
        <f>IF(Main!A348&lt;&gt;"",CONCATENATE("&lt;div class='String_ID_ISSUE'&gt;&lt;b&gt;ID: ",Main!A348,"&lt;/b&gt; - &lt;i&gt;",Main!I348,"pt, tracking ",Main!J348,", ",Main!K348," line(s)&lt;/i&gt;&lt;/div&gt;&lt;div class=""",Main!N348,""" style='width:",Main!M348,"px; height:",Main!L348,"px'&gt;",Main!H348,"&lt;/div&gt;&lt;br&gt;",IF(Main!A349="","&lt;/body&gt;
&lt;/html&gt;","")),"")</f>
        <v/>
      </c>
    </row>
    <row r="347" spans="1:1" x14ac:dyDescent="0.25">
      <c r="A347" s="1" t="str">
        <f>IF(Main!A349&lt;&gt;"",CONCATENATE("&lt;div class='String_ID_ISSUE'&gt;&lt;b&gt;ID: ",Main!A349,"&lt;/b&gt; - &lt;i&gt;",Main!I349,"pt, tracking ",Main!J349,", ",Main!K349," line(s)&lt;/i&gt;&lt;/div&gt;&lt;div class=""",Main!N349,""" style='width:",Main!M349,"px; height:",Main!L349,"px'&gt;",Main!H349,"&lt;/div&gt;&lt;br&gt;",IF(Main!A350="","&lt;/body&gt;
&lt;/html&gt;","")),"")</f>
        <v/>
      </c>
    </row>
    <row r="348" spans="1:1" x14ac:dyDescent="0.25">
      <c r="A348" s="1" t="str">
        <f>IF(Main!A350&lt;&gt;"",CONCATENATE("&lt;div class='String_ID_ISSUE'&gt;&lt;b&gt;ID: ",Main!A350,"&lt;/b&gt; - &lt;i&gt;",Main!I350,"pt, tracking ",Main!J350,", ",Main!K350," line(s)&lt;/i&gt;&lt;/div&gt;&lt;div class=""",Main!N350,""" style='width:",Main!M350,"px; height:",Main!L350,"px'&gt;",Main!H350,"&lt;/div&gt;&lt;br&gt;",IF(Main!A351="","&lt;/body&gt;
&lt;/html&gt;","")),"")</f>
        <v/>
      </c>
    </row>
    <row r="349" spans="1:1" x14ac:dyDescent="0.25">
      <c r="A349" s="1" t="str">
        <f>IF(Main!A351&lt;&gt;"",CONCATENATE("&lt;div class='String_ID_ISSUE'&gt;&lt;b&gt;ID: ",Main!A351,"&lt;/b&gt; - &lt;i&gt;",Main!I351,"pt, tracking ",Main!J351,", ",Main!K351," line(s)&lt;/i&gt;&lt;/div&gt;&lt;div class=""",Main!N351,""" style='width:",Main!M351,"px; height:",Main!L351,"px'&gt;",Main!H351,"&lt;/div&gt;&lt;br&gt;",IF(Main!A352="","&lt;/body&gt;
&lt;/html&gt;","")),"")</f>
        <v/>
      </c>
    </row>
    <row r="350" spans="1:1" x14ac:dyDescent="0.25">
      <c r="A350" s="1" t="str">
        <f>IF(Main!A352&lt;&gt;"",CONCATENATE("&lt;div class='String_ID_ISSUE'&gt;&lt;b&gt;ID: ",Main!A352,"&lt;/b&gt; - &lt;i&gt;",Main!I352,"pt, tracking ",Main!J352,", ",Main!K352," line(s)&lt;/i&gt;&lt;/div&gt;&lt;div class=""",Main!N352,""" style='width:",Main!M352,"px; height:",Main!L352,"px'&gt;",Main!H352,"&lt;/div&gt;&lt;br&gt;",IF(Main!A353="","&lt;/body&gt;
&lt;/html&gt;","")),"")</f>
        <v/>
      </c>
    </row>
    <row r="351" spans="1:1" x14ac:dyDescent="0.25">
      <c r="A351" s="1" t="str">
        <f>IF(Main!A353&lt;&gt;"",CONCATENATE("&lt;div class='String_ID_ISSUE'&gt;&lt;b&gt;ID: ",Main!A353,"&lt;/b&gt; - &lt;i&gt;",Main!I353,"pt, tracking ",Main!J353,", ",Main!K353," line(s)&lt;/i&gt;&lt;/div&gt;&lt;div class=""",Main!N353,""" style='width:",Main!M353,"px; height:",Main!L353,"px'&gt;",Main!H353,"&lt;/div&gt;&lt;br&gt;",IF(Main!A354="","&lt;/body&gt;
&lt;/html&gt;","")),"")</f>
        <v/>
      </c>
    </row>
    <row r="352" spans="1:1" x14ac:dyDescent="0.25">
      <c r="A352" s="1" t="str">
        <f>IF(Main!A354&lt;&gt;"",CONCATENATE("&lt;div class='String_ID_ISSUE'&gt;&lt;b&gt;ID: ",Main!A354,"&lt;/b&gt; - &lt;i&gt;",Main!I354,"pt, tracking ",Main!J354,", ",Main!K354," line(s)&lt;/i&gt;&lt;/div&gt;&lt;div class=""",Main!N354,""" style='width:",Main!M354,"px; height:",Main!L354,"px'&gt;",Main!H354,"&lt;/div&gt;&lt;br&gt;",IF(Main!A355="","&lt;/body&gt;
&lt;/html&gt;","")),"")</f>
        <v/>
      </c>
    </row>
    <row r="353" spans="1:1" x14ac:dyDescent="0.25">
      <c r="A353" s="1" t="str">
        <f>IF(Main!A355&lt;&gt;"",CONCATENATE("&lt;div class='String_ID_ISSUE'&gt;&lt;b&gt;ID: ",Main!A355,"&lt;/b&gt; - &lt;i&gt;",Main!I355,"pt, tracking ",Main!J355,", ",Main!K355," line(s)&lt;/i&gt;&lt;/div&gt;&lt;div class=""",Main!N355,""" style='width:",Main!M355,"px; height:",Main!L355,"px'&gt;",Main!H355,"&lt;/div&gt;&lt;br&gt;",IF(Main!A356="","&lt;/body&gt;
&lt;/html&gt;","")),"")</f>
        <v/>
      </c>
    </row>
    <row r="354" spans="1:1" x14ac:dyDescent="0.25">
      <c r="A354" s="1" t="str">
        <f>IF(Main!A356&lt;&gt;"",CONCATENATE("&lt;div class='String_ID_ISSUE'&gt;&lt;b&gt;ID: ",Main!A356,"&lt;/b&gt; - &lt;i&gt;",Main!I356,"pt, tracking ",Main!J356,", ",Main!K356," line(s)&lt;/i&gt;&lt;/div&gt;&lt;div class=""",Main!N356,""" style='width:",Main!M356,"px; height:",Main!L356,"px'&gt;",Main!H356,"&lt;/div&gt;&lt;br&gt;",IF(Main!A357="","&lt;/body&gt;
&lt;/html&gt;","")),"")</f>
        <v/>
      </c>
    </row>
    <row r="355" spans="1:1" x14ac:dyDescent="0.25">
      <c r="A355" s="1" t="str">
        <f>IF(Main!A357&lt;&gt;"",CONCATENATE("&lt;div class='String_ID_ISSUE'&gt;&lt;b&gt;ID: ",Main!A357,"&lt;/b&gt; - &lt;i&gt;",Main!I357,"pt, tracking ",Main!J357,", ",Main!K357," line(s)&lt;/i&gt;&lt;/div&gt;&lt;div class=""",Main!N357,""" style='width:",Main!M357,"px; height:",Main!L357,"px'&gt;",Main!H357,"&lt;/div&gt;&lt;br&gt;",IF(Main!A358="","&lt;/body&gt;
&lt;/html&gt;","")),"")</f>
        <v/>
      </c>
    </row>
    <row r="356" spans="1:1" x14ac:dyDescent="0.25">
      <c r="A356" s="1" t="str">
        <f>IF(Main!A358&lt;&gt;"",CONCATENATE("&lt;div class='String_ID_ISSUE'&gt;&lt;b&gt;ID: ",Main!A358,"&lt;/b&gt; - &lt;i&gt;",Main!I358,"pt, tracking ",Main!J358,", ",Main!K358," line(s)&lt;/i&gt;&lt;/div&gt;&lt;div class=""",Main!N358,""" style='width:",Main!M358,"px; height:",Main!L358,"px'&gt;",Main!H358,"&lt;/div&gt;&lt;br&gt;",IF(Main!A359="","&lt;/body&gt;
&lt;/html&gt;","")),"")</f>
        <v/>
      </c>
    </row>
    <row r="357" spans="1:1" x14ac:dyDescent="0.25">
      <c r="A357" s="1" t="str">
        <f>IF(Main!A359&lt;&gt;"",CONCATENATE("&lt;div class='String_ID_ISSUE'&gt;&lt;b&gt;ID: ",Main!A359,"&lt;/b&gt; - &lt;i&gt;",Main!I359,"pt, tracking ",Main!J359,", ",Main!K359," line(s)&lt;/i&gt;&lt;/div&gt;&lt;div class=""",Main!N359,""" style='width:",Main!M359,"px; height:",Main!L359,"px'&gt;",Main!H359,"&lt;/div&gt;&lt;br&gt;",IF(Main!A360="","&lt;/body&gt;
&lt;/html&gt;","")),"")</f>
        <v/>
      </c>
    </row>
    <row r="358" spans="1:1" x14ac:dyDescent="0.25">
      <c r="A358" s="1" t="str">
        <f>IF(Main!A360&lt;&gt;"",CONCATENATE("&lt;div class='String_ID_ISSUE'&gt;&lt;b&gt;ID: ",Main!A360,"&lt;/b&gt; - &lt;i&gt;",Main!I360,"pt, tracking ",Main!J360,", ",Main!K360," line(s)&lt;/i&gt;&lt;/div&gt;&lt;div class=""",Main!N360,""" style='width:",Main!M360,"px; height:",Main!L360,"px'&gt;",Main!H360,"&lt;/div&gt;&lt;br&gt;",IF(Main!A361="","&lt;/body&gt;
&lt;/html&gt;","")),"")</f>
        <v/>
      </c>
    </row>
    <row r="359" spans="1:1" x14ac:dyDescent="0.25">
      <c r="A359" s="1" t="str">
        <f>IF(Main!A361&lt;&gt;"",CONCATENATE("&lt;div class='String_ID_ISSUE'&gt;&lt;b&gt;ID: ",Main!A361,"&lt;/b&gt; - &lt;i&gt;",Main!I361,"pt, tracking ",Main!J361,", ",Main!K361," line(s)&lt;/i&gt;&lt;/div&gt;&lt;div class=""",Main!N361,""" style='width:",Main!M361,"px; height:",Main!L361,"px'&gt;",Main!H361,"&lt;/div&gt;&lt;br&gt;",IF(Main!A362="","&lt;/body&gt;
&lt;/html&gt;","")),"")</f>
        <v/>
      </c>
    </row>
    <row r="360" spans="1:1" x14ac:dyDescent="0.25">
      <c r="A360" s="1" t="str">
        <f>IF(Main!A362&lt;&gt;"",CONCATENATE("&lt;div class='String_ID_ISSUE'&gt;&lt;b&gt;ID: ",Main!A362,"&lt;/b&gt; - &lt;i&gt;",Main!I362,"pt, tracking ",Main!J362,", ",Main!K362," line(s)&lt;/i&gt;&lt;/div&gt;&lt;div class=""",Main!N362,""" style='width:",Main!M362,"px; height:",Main!L362,"px'&gt;",Main!H362,"&lt;/div&gt;&lt;br&gt;",IF(Main!A363="","&lt;/body&gt;
&lt;/html&gt;","")),"")</f>
        <v/>
      </c>
    </row>
    <row r="361" spans="1:1" x14ac:dyDescent="0.25">
      <c r="A361" s="1" t="str">
        <f>IF(Main!A363&lt;&gt;"",CONCATENATE("&lt;div class='String_ID_ISSUE'&gt;&lt;b&gt;ID: ",Main!A363,"&lt;/b&gt; - &lt;i&gt;",Main!I363,"pt, tracking ",Main!J363,", ",Main!K363," line(s)&lt;/i&gt;&lt;/div&gt;&lt;div class=""",Main!N363,""" style='width:",Main!M363,"px; height:",Main!L363,"px'&gt;",Main!H363,"&lt;/div&gt;&lt;br&gt;",IF(Main!A364="","&lt;/body&gt;
&lt;/html&gt;","")),"")</f>
        <v/>
      </c>
    </row>
    <row r="362" spans="1:1" x14ac:dyDescent="0.25">
      <c r="A362" s="1" t="str">
        <f>IF(Main!A364&lt;&gt;"",CONCATENATE("&lt;div class='String_ID_ISSUE'&gt;&lt;b&gt;ID: ",Main!A364,"&lt;/b&gt; - &lt;i&gt;",Main!I364,"pt, tracking ",Main!J364,", ",Main!K364," line(s)&lt;/i&gt;&lt;/div&gt;&lt;div class=""",Main!N364,""" style='width:",Main!M364,"px; height:",Main!L364,"px'&gt;",Main!H364,"&lt;/div&gt;&lt;br&gt;",IF(Main!A365="","&lt;/body&gt;
&lt;/html&gt;","")),"")</f>
        <v/>
      </c>
    </row>
    <row r="363" spans="1:1" x14ac:dyDescent="0.25">
      <c r="A363" s="1" t="str">
        <f>IF(Main!A365&lt;&gt;"",CONCATENATE("&lt;div class='String_ID_ISSUE'&gt;&lt;b&gt;ID: ",Main!A365,"&lt;/b&gt; - &lt;i&gt;",Main!I365,"pt, tracking ",Main!J365,", ",Main!K365," line(s)&lt;/i&gt;&lt;/div&gt;&lt;div class=""",Main!N365,""" style='width:",Main!M365,"px; height:",Main!L365,"px'&gt;",Main!H365,"&lt;/div&gt;&lt;br&gt;",IF(Main!A366="","&lt;/body&gt;
&lt;/html&gt;","")),"")</f>
        <v/>
      </c>
    </row>
    <row r="364" spans="1:1" x14ac:dyDescent="0.25">
      <c r="A364" s="1" t="str">
        <f>IF(Main!A366&lt;&gt;"",CONCATENATE("&lt;div class='String_ID_ISSUE'&gt;&lt;b&gt;ID: ",Main!A366,"&lt;/b&gt; - &lt;i&gt;",Main!I366,"pt, tracking ",Main!J366,", ",Main!K366," line(s)&lt;/i&gt;&lt;/div&gt;&lt;div class=""",Main!N366,""" style='width:",Main!M366,"px; height:",Main!L366,"px'&gt;",Main!H366,"&lt;/div&gt;&lt;br&gt;",IF(Main!A367="","&lt;/body&gt;
&lt;/html&gt;","")),"")</f>
        <v/>
      </c>
    </row>
    <row r="365" spans="1:1" x14ac:dyDescent="0.25">
      <c r="A365" s="1" t="str">
        <f>IF(Main!A367&lt;&gt;"",CONCATENATE("&lt;div class='String_ID_ISSUE'&gt;&lt;b&gt;ID: ",Main!A367,"&lt;/b&gt; - &lt;i&gt;",Main!I367,"pt, tracking ",Main!J367,", ",Main!K367," line(s)&lt;/i&gt;&lt;/div&gt;&lt;div class=""",Main!N367,""" style='width:",Main!M367,"px; height:",Main!L367,"px'&gt;",Main!H367,"&lt;/div&gt;&lt;br&gt;",IF(Main!A368="","&lt;/body&gt;
&lt;/html&gt;","")),"")</f>
        <v/>
      </c>
    </row>
    <row r="366" spans="1:1" x14ac:dyDescent="0.25">
      <c r="A366" s="1" t="str">
        <f>IF(Main!A368&lt;&gt;"",CONCATENATE("&lt;div class='String_ID_ISSUE'&gt;&lt;b&gt;ID: ",Main!A368,"&lt;/b&gt; - &lt;i&gt;",Main!I368,"pt, tracking ",Main!J368,", ",Main!K368," line(s)&lt;/i&gt;&lt;/div&gt;&lt;div class=""",Main!N368,""" style='width:",Main!M368,"px; height:",Main!L368,"px'&gt;",Main!H368,"&lt;/div&gt;&lt;br&gt;",IF(Main!A369="","&lt;/body&gt;
&lt;/html&gt;","")),"")</f>
        <v/>
      </c>
    </row>
    <row r="367" spans="1:1" x14ac:dyDescent="0.25">
      <c r="A367" s="1" t="str">
        <f>IF(Main!A369&lt;&gt;"",CONCATENATE("&lt;div class='String_ID_ISSUE'&gt;&lt;b&gt;ID: ",Main!A369,"&lt;/b&gt; - &lt;i&gt;",Main!I369,"pt, tracking ",Main!J369,", ",Main!K369," line(s)&lt;/i&gt;&lt;/div&gt;&lt;div class=""",Main!N369,""" style='width:",Main!M369,"px; height:",Main!L369,"px'&gt;",Main!H369,"&lt;/div&gt;&lt;br&gt;",IF(Main!A370="","&lt;/body&gt;
&lt;/html&gt;","")),"")</f>
        <v/>
      </c>
    </row>
    <row r="368" spans="1:1" x14ac:dyDescent="0.25">
      <c r="A368" s="1" t="str">
        <f>IF(Main!A370&lt;&gt;"",CONCATENATE("&lt;div class='String_ID_ISSUE'&gt;&lt;b&gt;ID: ",Main!A370,"&lt;/b&gt; - &lt;i&gt;",Main!I370,"pt, tracking ",Main!J370,", ",Main!K370," line(s)&lt;/i&gt;&lt;/div&gt;&lt;div class=""",Main!N370,""" style='width:",Main!M370,"px; height:",Main!L370,"px'&gt;",Main!H370,"&lt;/div&gt;&lt;br&gt;",IF(Main!A371="","&lt;/body&gt;
&lt;/html&gt;","")),"")</f>
        <v/>
      </c>
    </row>
    <row r="369" spans="1:1" x14ac:dyDescent="0.25">
      <c r="A369" s="1" t="str">
        <f>IF(Main!A371&lt;&gt;"",CONCATENATE("&lt;div class='String_ID_ISSUE'&gt;&lt;b&gt;ID: ",Main!A371,"&lt;/b&gt; - &lt;i&gt;",Main!I371,"pt, tracking ",Main!J371,", ",Main!K371," line(s)&lt;/i&gt;&lt;/div&gt;&lt;div class=""",Main!N371,""" style='width:",Main!M371,"px; height:",Main!L371,"px'&gt;",Main!H371,"&lt;/div&gt;&lt;br&gt;",IF(Main!A372="","&lt;/body&gt;
&lt;/html&gt;","")),"")</f>
        <v/>
      </c>
    </row>
    <row r="370" spans="1:1" x14ac:dyDescent="0.25">
      <c r="A370" s="1" t="str">
        <f>IF(Main!A372&lt;&gt;"",CONCATENATE("&lt;div class='String_ID_ISSUE'&gt;&lt;b&gt;ID: ",Main!A372,"&lt;/b&gt; - &lt;i&gt;",Main!I372,"pt, tracking ",Main!J372,", ",Main!K372," line(s)&lt;/i&gt;&lt;/div&gt;&lt;div class=""",Main!N372,""" style='width:",Main!M372,"px; height:",Main!L372,"px'&gt;",Main!H372,"&lt;/div&gt;&lt;br&gt;",IF(Main!A373="","&lt;/body&gt;
&lt;/html&gt;","")),"")</f>
        <v/>
      </c>
    </row>
    <row r="371" spans="1:1" x14ac:dyDescent="0.25">
      <c r="A371" s="1" t="str">
        <f>IF(Main!A373&lt;&gt;"",CONCATENATE("&lt;div class='String_ID_ISSUE'&gt;&lt;b&gt;ID: ",Main!A373,"&lt;/b&gt; - &lt;i&gt;",Main!I373,"pt, tracking ",Main!J373,", ",Main!K373," line(s)&lt;/i&gt;&lt;/div&gt;&lt;div class=""",Main!N373,""" style='width:",Main!M373,"px; height:",Main!L373,"px'&gt;",Main!H373,"&lt;/div&gt;&lt;br&gt;",IF(Main!A374="","&lt;/body&gt;
&lt;/html&gt;","")),"")</f>
        <v/>
      </c>
    </row>
    <row r="372" spans="1:1" x14ac:dyDescent="0.25">
      <c r="A372" s="1" t="str">
        <f>IF(Main!A374&lt;&gt;"",CONCATENATE("&lt;div class='String_ID_ISSUE'&gt;&lt;b&gt;ID: ",Main!A374,"&lt;/b&gt; - &lt;i&gt;",Main!I374,"pt, tracking ",Main!J374,", ",Main!K374," line(s)&lt;/i&gt;&lt;/div&gt;&lt;div class=""",Main!N374,""" style='width:",Main!M374,"px; height:",Main!L374,"px'&gt;",Main!H374,"&lt;/div&gt;&lt;br&gt;",IF(Main!A375="","&lt;/body&gt;
&lt;/html&gt;","")),"")</f>
        <v/>
      </c>
    </row>
    <row r="373" spans="1:1" x14ac:dyDescent="0.25">
      <c r="A373" s="1" t="str">
        <f>IF(Main!A375&lt;&gt;"",CONCATENATE("&lt;div class='String_ID_ISSUE'&gt;&lt;b&gt;ID: ",Main!A375,"&lt;/b&gt; - &lt;i&gt;",Main!I375,"pt, tracking ",Main!J375,", ",Main!K375," line(s)&lt;/i&gt;&lt;/div&gt;&lt;div class=""",Main!N375,""" style='width:",Main!M375,"px; height:",Main!L375,"px'&gt;",Main!H375,"&lt;/div&gt;&lt;br&gt;",IF(Main!A376="","&lt;/body&gt;
&lt;/html&gt;","")),"")</f>
        <v/>
      </c>
    </row>
    <row r="374" spans="1:1" x14ac:dyDescent="0.25">
      <c r="A374" s="1" t="str">
        <f>IF(Main!A376&lt;&gt;"",CONCATENATE("&lt;div class='String_ID_ISSUE'&gt;&lt;b&gt;ID: ",Main!A376,"&lt;/b&gt; - &lt;i&gt;",Main!I376,"pt, tracking ",Main!J376,", ",Main!K376," line(s)&lt;/i&gt;&lt;/div&gt;&lt;div class=""",Main!N376,""" style='width:",Main!M376,"px; height:",Main!L376,"px'&gt;",Main!H376,"&lt;/div&gt;&lt;br&gt;",IF(Main!A377="","&lt;/body&gt;
&lt;/html&gt;","")),"")</f>
        <v/>
      </c>
    </row>
    <row r="375" spans="1:1" x14ac:dyDescent="0.25">
      <c r="A375" s="1" t="str">
        <f>IF(Main!A377&lt;&gt;"",CONCATENATE("&lt;div class='String_ID_ISSUE'&gt;&lt;b&gt;ID: ",Main!A377,"&lt;/b&gt; - &lt;i&gt;",Main!I377,"pt, tracking ",Main!J377,", ",Main!K377," line(s)&lt;/i&gt;&lt;/div&gt;&lt;div class=""",Main!N377,""" style='width:",Main!M377,"px; height:",Main!L377,"px'&gt;",Main!H377,"&lt;/div&gt;&lt;br&gt;",IF(Main!A378="","&lt;/body&gt;
&lt;/html&gt;","")),"")</f>
        <v/>
      </c>
    </row>
    <row r="376" spans="1:1" x14ac:dyDescent="0.25">
      <c r="A376" s="1" t="str">
        <f>IF(Main!A378&lt;&gt;"",CONCATENATE("&lt;div class='String_ID_ISSUE'&gt;&lt;b&gt;ID: ",Main!A378,"&lt;/b&gt; - &lt;i&gt;",Main!I378,"pt, tracking ",Main!J378,", ",Main!K378," line(s)&lt;/i&gt;&lt;/div&gt;&lt;div class=""",Main!N378,""" style='width:",Main!M378,"px; height:",Main!L378,"px'&gt;",Main!H378,"&lt;/div&gt;&lt;br&gt;",IF(Main!A379="","&lt;/body&gt;
&lt;/html&gt;","")),"")</f>
        <v/>
      </c>
    </row>
    <row r="377" spans="1:1" x14ac:dyDescent="0.25">
      <c r="A377" s="1" t="str">
        <f>IF(Main!A379&lt;&gt;"",CONCATENATE("&lt;div class='String_ID_ISSUE'&gt;&lt;b&gt;ID: ",Main!A379,"&lt;/b&gt; - &lt;i&gt;",Main!I379,"pt, tracking ",Main!J379,", ",Main!K379," line(s)&lt;/i&gt;&lt;/div&gt;&lt;div class=""",Main!N379,""" style='width:",Main!M379,"px; height:",Main!L379,"px'&gt;",Main!H379,"&lt;/div&gt;&lt;br&gt;",IF(Main!A380="","&lt;/body&gt;
&lt;/html&gt;","")),"")</f>
        <v/>
      </c>
    </row>
    <row r="378" spans="1:1" x14ac:dyDescent="0.25">
      <c r="A378" s="1" t="str">
        <f>IF(Main!A380&lt;&gt;"",CONCATENATE("&lt;div class='String_ID_ISSUE'&gt;&lt;b&gt;ID: ",Main!A380,"&lt;/b&gt; - &lt;i&gt;",Main!I380,"pt, tracking ",Main!J380,", ",Main!K380," line(s)&lt;/i&gt;&lt;/div&gt;&lt;div class=""",Main!N380,""" style='width:",Main!M380,"px; height:",Main!L380,"px'&gt;",Main!H380,"&lt;/div&gt;&lt;br&gt;",IF(Main!A381="","&lt;/body&gt;
&lt;/html&gt;","")),"")</f>
        <v/>
      </c>
    </row>
    <row r="379" spans="1:1" x14ac:dyDescent="0.25">
      <c r="A379" s="1" t="str">
        <f>IF(Main!A381&lt;&gt;"",CONCATENATE("&lt;div class='String_ID_ISSUE'&gt;&lt;b&gt;ID: ",Main!A381,"&lt;/b&gt; - &lt;i&gt;",Main!I381,"pt, tracking ",Main!J381,", ",Main!K381," line(s)&lt;/i&gt;&lt;/div&gt;&lt;div class=""",Main!N381,""" style='width:",Main!M381,"px; height:",Main!L381,"px'&gt;",Main!H381,"&lt;/div&gt;&lt;br&gt;",IF(Main!A382="","&lt;/body&gt;
&lt;/html&gt;","")),"")</f>
        <v/>
      </c>
    </row>
    <row r="380" spans="1:1" x14ac:dyDescent="0.25">
      <c r="A380" s="1" t="str">
        <f>IF(Main!A382&lt;&gt;"",CONCATENATE("&lt;div class='String_ID_ISSUE'&gt;&lt;b&gt;ID: ",Main!A382,"&lt;/b&gt; - &lt;i&gt;",Main!I382,"pt, tracking ",Main!J382,", ",Main!K382," line(s)&lt;/i&gt;&lt;/div&gt;&lt;div class=""",Main!N382,""" style='width:",Main!M382,"px; height:",Main!L382,"px'&gt;",Main!H382,"&lt;/div&gt;&lt;br&gt;",IF(Main!A383="","&lt;/body&gt;
&lt;/html&gt;","")),"")</f>
        <v/>
      </c>
    </row>
    <row r="381" spans="1:1" x14ac:dyDescent="0.25">
      <c r="A381" s="1" t="str">
        <f>IF(Main!A383&lt;&gt;"",CONCATENATE("&lt;div class='String_ID_ISSUE'&gt;&lt;b&gt;ID: ",Main!A383,"&lt;/b&gt; - &lt;i&gt;",Main!I383,"pt, tracking ",Main!J383,", ",Main!K383," line(s)&lt;/i&gt;&lt;/div&gt;&lt;div class=""",Main!N383,""" style='width:",Main!M383,"px; height:",Main!L383,"px'&gt;",Main!H383,"&lt;/div&gt;&lt;br&gt;",IF(Main!A384="","&lt;/body&gt;
&lt;/html&gt;","")),"")</f>
        <v/>
      </c>
    </row>
    <row r="382" spans="1:1" x14ac:dyDescent="0.25">
      <c r="A382" s="1" t="str">
        <f>IF(Main!A384&lt;&gt;"",CONCATENATE("&lt;div class='String_ID_ISSUE'&gt;&lt;b&gt;ID: ",Main!A384,"&lt;/b&gt; - &lt;i&gt;",Main!I384,"pt, tracking ",Main!J384,", ",Main!K384," line(s)&lt;/i&gt;&lt;/div&gt;&lt;div class=""",Main!N384,""" style='width:",Main!M384,"px; height:",Main!L384,"px'&gt;",Main!H384,"&lt;/div&gt;&lt;br&gt;",IF(Main!A385="","&lt;/body&gt;
&lt;/html&gt;","")),"")</f>
        <v/>
      </c>
    </row>
    <row r="383" spans="1:1" x14ac:dyDescent="0.25">
      <c r="A383" s="1" t="str">
        <f>IF(Main!A385&lt;&gt;"",CONCATENATE("&lt;div class='String_ID_ISSUE'&gt;&lt;b&gt;ID: ",Main!A385,"&lt;/b&gt; - &lt;i&gt;",Main!I385,"pt, tracking ",Main!J385,", ",Main!K385," line(s)&lt;/i&gt;&lt;/div&gt;&lt;div class=""",Main!N385,""" style='width:",Main!M385,"px; height:",Main!L385,"px'&gt;",Main!H385,"&lt;/div&gt;&lt;br&gt;",IF(Main!A386="","&lt;/body&gt;
&lt;/html&gt;","")),"")</f>
        <v/>
      </c>
    </row>
    <row r="384" spans="1:1" x14ac:dyDescent="0.25">
      <c r="A384" s="1" t="str">
        <f>IF(Main!A386&lt;&gt;"",CONCATENATE("&lt;div class='String_ID_ISSUE'&gt;&lt;b&gt;ID: ",Main!A386,"&lt;/b&gt; - &lt;i&gt;",Main!I386,"pt, tracking ",Main!J386,", ",Main!K386," line(s)&lt;/i&gt;&lt;/div&gt;&lt;div class=""",Main!N386,""" style='width:",Main!M386,"px; height:",Main!L386,"px'&gt;",Main!H386,"&lt;/div&gt;&lt;br&gt;",IF(Main!A387="","&lt;/body&gt;
&lt;/html&gt;","")),"")</f>
        <v/>
      </c>
    </row>
    <row r="385" spans="1:1" x14ac:dyDescent="0.25">
      <c r="A385" s="1" t="str">
        <f>IF(Main!A387&lt;&gt;"",CONCATENATE("&lt;div class='String_ID_ISSUE'&gt;&lt;b&gt;ID: ",Main!A387,"&lt;/b&gt; - &lt;i&gt;",Main!I387,"pt, tracking ",Main!J387,", ",Main!K387," line(s)&lt;/i&gt;&lt;/div&gt;&lt;div class=""",Main!N387,""" style='width:",Main!M387,"px; height:",Main!L387,"px'&gt;",Main!H387,"&lt;/div&gt;&lt;br&gt;",IF(Main!A388="","&lt;/body&gt;
&lt;/html&gt;","")),"")</f>
        <v/>
      </c>
    </row>
    <row r="386" spans="1:1" x14ac:dyDescent="0.25">
      <c r="A386" s="1" t="str">
        <f>IF(Main!A388&lt;&gt;"",CONCATENATE("&lt;div class='String_ID_ISSUE'&gt;&lt;b&gt;ID: ",Main!A388,"&lt;/b&gt; - &lt;i&gt;",Main!I388,"pt, tracking ",Main!J388,", ",Main!K388," line(s)&lt;/i&gt;&lt;/div&gt;&lt;div class=""",Main!N388,""" style='width:",Main!M388,"px; height:",Main!L388,"px'&gt;",Main!H388,"&lt;/div&gt;&lt;br&gt;",IF(Main!A389="","&lt;/body&gt;
&lt;/html&gt;","")),"")</f>
        <v/>
      </c>
    </row>
    <row r="387" spans="1:1" x14ac:dyDescent="0.25">
      <c r="A387" s="1" t="str">
        <f>IF(Main!A389&lt;&gt;"",CONCATENATE("&lt;div class='String_ID_ISSUE'&gt;&lt;b&gt;ID: ",Main!A389,"&lt;/b&gt; - &lt;i&gt;",Main!I389,"pt, tracking ",Main!J389,", ",Main!K389," line(s)&lt;/i&gt;&lt;/div&gt;&lt;div class=""",Main!N389,""" style='width:",Main!M389,"px; height:",Main!L389,"px'&gt;",Main!H389,"&lt;/div&gt;&lt;br&gt;",IF(Main!A390="","&lt;/body&gt;
&lt;/html&gt;","")),"")</f>
        <v/>
      </c>
    </row>
    <row r="388" spans="1:1" x14ac:dyDescent="0.25">
      <c r="A388" s="1" t="str">
        <f>IF(Main!A390&lt;&gt;"",CONCATENATE("&lt;div class='String_ID_ISSUE'&gt;&lt;b&gt;ID: ",Main!A390,"&lt;/b&gt; - &lt;i&gt;",Main!I390,"pt, tracking ",Main!J390,", ",Main!K390," line(s)&lt;/i&gt;&lt;/div&gt;&lt;div class=""",Main!N390,""" style='width:",Main!M390,"px; height:",Main!L390,"px'&gt;",Main!H390,"&lt;/div&gt;&lt;br&gt;",IF(Main!A391="","&lt;/body&gt;
&lt;/html&gt;","")),"")</f>
        <v/>
      </c>
    </row>
    <row r="389" spans="1:1" x14ac:dyDescent="0.25">
      <c r="A389" s="1" t="str">
        <f>IF(Main!A391&lt;&gt;"",CONCATENATE("&lt;div class='String_ID_ISSUE'&gt;&lt;b&gt;ID: ",Main!A391,"&lt;/b&gt; - &lt;i&gt;",Main!I391,"pt, tracking ",Main!J391,", ",Main!K391," line(s)&lt;/i&gt;&lt;/div&gt;&lt;div class=""",Main!N391,""" style='width:",Main!M391,"px; height:",Main!L391,"px'&gt;",Main!H391,"&lt;/div&gt;&lt;br&gt;",IF(Main!A392="","&lt;/body&gt;
&lt;/html&gt;","")),"")</f>
        <v/>
      </c>
    </row>
    <row r="390" spans="1:1" x14ac:dyDescent="0.25">
      <c r="A390" s="1" t="str">
        <f>IF(Main!A392&lt;&gt;"",CONCATENATE("&lt;div class='String_ID_ISSUE'&gt;&lt;b&gt;ID: ",Main!A392,"&lt;/b&gt; - &lt;i&gt;",Main!I392,"pt, tracking ",Main!J392,", ",Main!K392," line(s)&lt;/i&gt;&lt;/div&gt;&lt;div class=""",Main!N392,""" style='width:",Main!M392,"px; height:",Main!L392,"px'&gt;",Main!H392,"&lt;/div&gt;&lt;br&gt;",IF(Main!A393="","&lt;/body&gt;
&lt;/html&gt;","")),"")</f>
        <v/>
      </c>
    </row>
    <row r="391" spans="1:1" x14ac:dyDescent="0.25">
      <c r="A391" s="1" t="str">
        <f>IF(Main!A393&lt;&gt;"",CONCATENATE("&lt;div class='String_ID_ISSUE'&gt;&lt;b&gt;ID: ",Main!A393,"&lt;/b&gt; - &lt;i&gt;",Main!I393,"pt, tracking ",Main!J393,", ",Main!K393," line(s)&lt;/i&gt;&lt;/div&gt;&lt;div class=""",Main!N393,""" style='width:",Main!M393,"px; height:",Main!L393,"px'&gt;",Main!H393,"&lt;/div&gt;&lt;br&gt;",IF(Main!A394="","&lt;/body&gt;
&lt;/html&gt;","")),"")</f>
        <v/>
      </c>
    </row>
    <row r="392" spans="1:1" x14ac:dyDescent="0.25">
      <c r="A392" s="1" t="str">
        <f>IF(Main!A394&lt;&gt;"",CONCATENATE("&lt;div class='String_ID_ISSUE'&gt;&lt;b&gt;ID: ",Main!A394,"&lt;/b&gt; - &lt;i&gt;",Main!I394,"pt, tracking ",Main!J394,", ",Main!K394," line(s)&lt;/i&gt;&lt;/div&gt;&lt;div class=""",Main!N394,""" style='width:",Main!M394,"px; height:",Main!L394,"px'&gt;",Main!H394,"&lt;/div&gt;&lt;br&gt;",IF(Main!A395="","&lt;/body&gt;
&lt;/html&gt;","")),"")</f>
        <v/>
      </c>
    </row>
    <row r="393" spans="1:1" x14ac:dyDescent="0.25">
      <c r="A393" s="1" t="str">
        <f>IF(Main!A395&lt;&gt;"",CONCATENATE("&lt;div class='String_ID_ISSUE'&gt;&lt;b&gt;ID: ",Main!A395,"&lt;/b&gt; - &lt;i&gt;",Main!I395,"pt, tracking ",Main!J395,", ",Main!K395," line(s)&lt;/i&gt;&lt;/div&gt;&lt;div class=""",Main!N395,""" style='width:",Main!M395,"px; height:",Main!L395,"px'&gt;",Main!H395,"&lt;/div&gt;&lt;br&gt;",IF(Main!A396="","&lt;/body&gt;
&lt;/html&gt;","")),"")</f>
        <v/>
      </c>
    </row>
    <row r="394" spans="1:1" x14ac:dyDescent="0.25">
      <c r="A394" s="1" t="str">
        <f>IF(Main!A396&lt;&gt;"",CONCATENATE("&lt;div class='String_ID_ISSUE'&gt;&lt;b&gt;ID: ",Main!A396,"&lt;/b&gt; - &lt;i&gt;",Main!I396,"pt, tracking ",Main!J396,", ",Main!K396," line(s)&lt;/i&gt;&lt;/div&gt;&lt;div class=""",Main!N396,""" style='width:",Main!M396,"px; height:",Main!L396,"px'&gt;",Main!H396,"&lt;/div&gt;&lt;br&gt;",IF(Main!A397="","&lt;/body&gt;
&lt;/html&gt;","")),"")</f>
        <v/>
      </c>
    </row>
    <row r="395" spans="1:1" x14ac:dyDescent="0.25">
      <c r="A395" s="1" t="str">
        <f>IF(Main!A397&lt;&gt;"",CONCATENATE("&lt;div class='String_ID_ISSUE'&gt;&lt;b&gt;ID: ",Main!A397,"&lt;/b&gt; - &lt;i&gt;",Main!I397,"pt, tracking ",Main!J397,", ",Main!K397," line(s)&lt;/i&gt;&lt;/div&gt;&lt;div class=""",Main!N397,""" style='width:",Main!M397,"px; height:",Main!L397,"px'&gt;",Main!H397,"&lt;/div&gt;&lt;br&gt;",IF(Main!A398="","&lt;/body&gt;
&lt;/html&gt;","")),"")</f>
        <v/>
      </c>
    </row>
    <row r="396" spans="1:1" x14ac:dyDescent="0.25">
      <c r="A396" s="1" t="str">
        <f>IF(Main!A398&lt;&gt;"",CONCATENATE("&lt;div class='String_ID_ISSUE'&gt;&lt;b&gt;ID: ",Main!A398,"&lt;/b&gt; - &lt;i&gt;",Main!I398,"pt, tracking ",Main!J398,", ",Main!K398," line(s)&lt;/i&gt;&lt;/div&gt;&lt;div class=""",Main!N398,""" style='width:",Main!M398,"px; height:",Main!L398,"px'&gt;",Main!H398,"&lt;/div&gt;&lt;br&gt;",IF(Main!A399="","&lt;/body&gt;
&lt;/html&gt;","")),"")</f>
        <v/>
      </c>
    </row>
    <row r="397" spans="1:1" x14ac:dyDescent="0.25">
      <c r="A397" s="1" t="str">
        <f>IF(Main!A399&lt;&gt;"",CONCATENATE("&lt;div class='String_ID_ISSUE'&gt;&lt;b&gt;ID: ",Main!A399,"&lt;/b&gt; - &lt;i&gt;",Main!I399,"pt, tracking ",Main!J399,", ",Main!K399," line(s)&lt;/i&gt;&lt;/div&gt;&lt;div class=""",Main!N399,""" style='width:",Main!M399,"px; height:",Main!L399,"px'&gt;",Main!H399,"&lt;/div&gt;&lt;br&gt;",IF(Main!A400="","&lt;/body&gt;
&lt;/html&gt;","")),"")</f>
        <v/>
      </c>
    </row>
    <row r="398" spans="1:1" x14ac:dyDescent="0.25">
      <c r="A398" s="1" t="str">
        <f>IF(Main!A400&lt;&gt;"",CONCATENATE("&lt;div class='String_ID_ISSUE'&gt;&lt;b&gt;ID: ",Main!A400,"&lt;/b&gt; - &lt;i&gt;",Main!I400,"pt, tracking ",Main!J400,", ",Main!K400," line(s)&lt;/i&gt;&lt;/div&gt;&lt;div class=""",Main!N400,""" style='width:",Main!M400,"px; height:",Main!L400,"px'&gt;",Main!H400,"&lt;/div&gt;&lt;br&gt;",IF(Main!A401="","&lt;/body&gt;
&lt;/html&gt;","")),"")</f>
        <v/>
      </c>
    </row>
    <row r="399" spans="1:1" x14ac:dyDescent="0.25">
      <c r="A399" s="1" t="str">
        <f>IF(Main!A401&lt;&gt;"",CONCATENATE("&lt;div class='String_ID_ISSUE'&gt;&lt;b&gt;ID: ",Main!A401,"&lt;/b&gt; - &lt;i&gt;",Main!I401,"pt, tracking ",Main!J401,", ",Main!K401," line(s)&lt;/i&gt;&lt;/div&gt;&lt;div class=""",Main!N401,""" style='width:",Main!M401,"px; height:",Main!L401,"px'&gt;",Main!H401,"&lt;/div&gt;&lt;br&gt;",IF(Main!A402="","&lt;/body&gt;
&lt;/html&gt;","")),"")</f>
        <v/>
      </c>
    </row>
    <row r="400" spans="1:1" x14ac:dyDescent="0.25">
      <c r="A400" s="1" t="str">
        <f>IF(Main!A402&lt;&gt;"",CONCATENATE("&lt;div class='String_ID_ISSUE'&gt;&lt;b&gt;ID: ",Main!A402,"&lt;/b&gt; - &lt;i&gt;",Main!I402,"pt, tracking ",Main!J402,", ",Main!K402," line(s)&lt;/i&gt;&lt;/div&gt;&lt;div class=""",Main!N402,""" style='width:",Main!M402,"px; height:",Main!L402,"px'&gt;",Main!H402,"&lt;/div&gt;&lt;br&gt;",IF(Main!A403="","&lt;/body&gt;
&lt;/html&gt;","")),"")</f>
        <v/>
      </c>
    </row>
    <row r="401" spans="1:1" x14ac:dyDescent="0.25">
      <c r="A401" s="1" t="str">
        <f>IF(Main!A403&lt;&gt;"",CONCATENATE("&lt;div class='String_ID_ISSUE'&gt;&lt;b&gt;ID: ",Main!A403,"&lt;/b&gt; - &lt;i&gt;",Main!I403,"pt, tracking ",Main!J403,", ",Main!K403," line(s)&lt;/i&gt;&lt;/div&gt;&lt;div class=""",Main!N403,""" style='width:",Main!M403,"px; height:",Main!L403,"px'&gt;",Main!H403,"&lt;/div&gt;&lt;br&gt;",IF(Main!A404="","&lt;/body&gt;
&lt;/html&gt;","")),"")</f>
        <v/>
      </c>
    </row>
    <row r="402" spans="1:1" x14ac:dyDescent="0.25">
      <c r="A402" s="1" t="str">
        <f>IF(Main!A404&lt;&gt;"",CONCATENATE("&lt;div class='String_ID_ISSUE'&gt;&lt;b&gt;ID: ",Main!A404,"&lt;/b&gt; - &lt;i&gt;",Main!I404,"pt, tracking ",Main!J404,", ",Main!K404," line(s)&lt;/i&gt;&lt;/div&gt;&lt;div class=""",Main!N404,""" style='width:",Main!M404,"px; height:",Main!L404,"px'&gt;",Main!H404,"&lt;/div&gt;&lt;br&gt;",IF(Main!A405="","&lt;/body&gt;
&lt;/html&gt;","")),"")</f>
        <v/>
      </c>
    </row>
    <row r="403" spans="1:1" x14ac:dyDescent="0.25">
      <c r="A403" s="1" t="str">
        <f>IF(Main!A405&lt;&gt;"",CONCATENATE("&lt;div class='String_ID_ISSUE'&gt;&lt;b&gt;ID: ",Main!A405,"&lt;/b&gt; - &lt;i&gt;",Main!I405,"pt, tracking ",Main!J405,", ",Main!K405," line(s)&lt;/i&gt;&lt;/div&gt;&lt;div class=""",Main!N405,""" style='width:",Main!M405,"px; height:",Main!L405,"px'&gt;",Main!H405,"&lt;/div&gt;&lt;br&gt;",IF(Main!A406="","&lt;/body&gt;
&lt;/html&gt;","")),"")</f>
        <v/>
      </c>
    </row>
    <row r="404" spans="1:1" x14ac:dyDescent="0.25">
      <c r="A404" s="1" t="str">
        <f>IF(Main!A406&lt;&gt;"",CONCATENATE("&lt;div class='String_ID_ISSUE'&gt;&lt;b&gt;ID: ",Main!A406,"&lt;/b&gt; - &lt;i&gt;",Main!I406,"pt, tracking ",Main!J406,", ",Main!K406," line(s)&lt;/i&gt;&lt;/div&gt;&lt;div class=""",Main!N406,""" style='width:",Main!M406,"px; height:",Main!L406,"px'&gt;",Main!H406,"&lt;/div&gt;&lt;br&gt;",IF(Main!A407="","&lt;/body&gt;
&lt;/html&gt;","")),"")</f>
        <v/>
      </c>
    </row>
    <row r="405" spans="1:1" x14ac:dyDescent="0.25">
      <c r="A405" s="1" t="str">
        <f>IF(Main!A407&lt;&gt;"",CONCATENATE("&lt;div class='String_ID_ISSUE'&gt;&lt;b&gt;ID: ",Main!A407,"&lt;/b&gt; - &lt;i&gt;",Main!I407,"pt, tracking ",Main!J407,", ",Main!K407," line(s)&lt;/i&gt;&lt;/div&gt;&lt;div class=""",Main!N407,""" style='width:",Main!M407,"px; height:",Main!L407,"px'&gt;",Main!H407,"&lt;/div&gt;&lt;br&gt;",IF(Main!A408="","&lt;/body&gt;
&lt;/html&gt;","")),"")</f>
        <v/>
      </c>
    </row>
    <row r="406" spans="1:1" x14ac:dyDescent="0.25">
      <c r="A406" s="1" t="str">
        <f>IF(Main!A408&lt;&gt;"",CONCATENATE("&lt;div class='String_ID_ISSUE'&gt;&lt;b&gt;ID: ",Main!A408,"&lt;/b&gt; - &lt;i&gt;",Main!I408,"pt, tracking ",Main!J408,", ",Main!K408," line(s)&lt;/i&gt;&lt;/div&gt;&lt;div class=""",Main!N408,""" style='width:",Main!M408,"px; height:",Main!L408,"px'&gt;",Main!H408,"&lt;/div&gt;&lt;br&gt;",IF(Main!A409="","&lt;/body&gt;
&lt;/html&gt;","")),"")</f>
        <v/>
      </c>
    </row>
    <row r="407" spans="1:1" x14ac:dyDescent="0.25">
      <c r="A407" s="1" t="str">
        <f>IF(Main!A409&lt;&gt;"",CONCATENATE("&lt;div class='String_ID_ISSUE'&gt;&lt;b&gt;ID: ",Main!A409,"&lt;/b&gt; - &lt;i&gt;",Main!I409,"pt, tracking ",Main!J409,", ",Main!K409," line(s)&lt;/i&gt;&lt;/div&gt;&lt;div class=""",Main!N409,""" style='width:",Main!M409,"px; height:",Main!L409,"px'&gt;",Main!H409,"&lt;/div&gt;&lt;br&gt;",IF(Main!A410="","&lt;/body&gt;
&lt;/html&gt;","")),"")</f>
        <v/>
      </c>
    </row>
    <row r="408" spans="1:1" x14ac:dyDescent="0.25">
      <c r="A408" s="1" t="str">
        <f>IF(Main!A410&lt;&gt;"",CONCATENATE("&lt;div class='String_ID_ISSUE'&gt;&lt;b&gt;ID: ",Main!A410,"&lt;/b&gt; - &lt;i&gt;",Main!I410,"pt, tracking ",Main!J410,", ",Main!K410," line(s)&lt;/i&gt;&lt;/div&gt;&lt;div class=""",Main!N410,""" style='width:",Main!M410,"px; height:",Main!L410,"px'&gt;",Main!H410,"&lt;/div&gt;&lt;br&gt;",IF(Main!A411="","&lt;/body&gt;
&lt;/html&gt;","")),"")</f>
        <v/>
      </c>
    </row>
    <row r="409" spans="1:1" x14ac:dyDescent="0.25">
      <c r="A409" s="1" t="str">
        <f>IF(Main!A411&lt;&gt;"",CONCATENATE("&lt;div class='String_ID_ISSUE'&gt;&lt;b&gt;ID: ",Main!A411,"&lt;/b&gt; - &lt;i&gt;",Main!I411,"pt, tracking ",Main!J411,", ",Main!K411," line(s)&lt;/i&gt;&lt;/div&gt;&lt;div class=""",Main!N411,""" style='width:",Main!M411,"px; height:",Main!L411,"px'&gt;",Main!H411,"&lt;/div&gt;&lt;br&gt;",IF(Main!A412="","&lt;/body&gt;
&lt;/html&gt;","")),"")</f>
        <v/>
      </c>
    </row>
    <row r="410" spans="1:1" x14ac:dyDescent="0.25">
      <c r="A410" s="1" t="str">
        <f>IF(Main!A412&lt;&gt;"",CONCATENATE("&lt;div class='String_ID_ISSUE'&gt;&lt;b&gt;ID: ",Main!A412,"&lt;/b&gt; - &lt;i&gt;",Main!I412,"pt, tracking ",Main!J412,", ",Main!K412," line(s)&lt;/i&gt;&lt;/div&gt;&lt;div class=""",Main!N412,""" style='width:",Main!M412,"px; height:",Main!L412,"px'&gt;",Main!H412,"&lt;/div&gt;&lt;br&gt;",IF(Main!A413="","&lt;/body&gt;
&lt;/html&gt;","")),"")</f>
        <v/>
      </c>
    </row>
    <row r="411" spans="1:1" x14ac:dyDescent="0.25">
      <c r="A411" s="1" t="str">
        <f>IF(Main!A413&lt;&gt;"",CONCATENATE("&lt;div class='String_ID_ISSUE'&gt;&lt;b&gt;ID: ",Main!A413,"&lt;/b&gt; - &lt;i&gt;",Main!I413,"pt, tracking ",Main!J413,", ",Main!K413," line(s)&lt;/i&gt;&lt;/div&gt;&lt;div class=""",Main!N413,""" style='width:",Main!M413,"px; height:",Main!L413,"px'&gt;",Main!H413,"&lt;/div&gt;&lt;br&gt;",IF(Main!A414="","&lt;/body&gt;
&lt;/html&gt;","")),"")</f>
        <v/>
      </c>
    </row>
    <row r="412" spans="1:1" x14ac:dyDescent="0.25">
      <c r="A412" s="1" t="str">
        <f>IF(Main!A414&lt;&gt;"",CONCATENATE("&lt;div class='String_ID_ISSUE'&gt;&lt;b&gt;ID: ",Main!A414,"&lt;/b&gt; - &lt;i&gt;",Main!I414,"pt, tracking ",Main!J414,", ",Main!K414," line(s)&lt;/i&gt;&lt;/div&gt;&lt;div class=""",Main!N414,""" style='width:",Main!M414,"px; height:",Main!L414,"px'&gt;",Main!H414,"&lt;/div&gt;&lt;br&gt;",IF(Main!A415="","&lt;/body&gt;
&lt;/html&gt;","")),"")</f>
        <v/>
      </c>
    </row>
    <row r="413" spans="1:1" x14ac:dyDescent="0.25">
      <c r="A413" s="1" t="str">
        <f>IF(Main!A415&lt;&gt;"",CONCATENATE("&lt;div class='String_ID_ISSUE'&gt;&lt;b&gt;ID: ",Main!A415,"&lt;/b&gt; - &lt;i&gt;",Main!I415,"pt, tracking ",Main!J415,", ",Main!K415," line(s)&lt;/i&gt;&lt;/div&gt;&lt;div class=""",Main!N415,""" style='width:",Main!M415,"px; height:",Main!L415,"px'&gt;",Main!H415,"&lt;/div&gt;&lt;br&gt;",IF(Main!A416="","&lt;/body&gt;
&lt;/html&gt;","")),"")</f>
        <v/>
      </c>
    </row>
    <row r="414" spans="1:1" x14ac:dyDescent="0.25">
      <c r="A414" s="1" t="str">
        <f>IF(Main!A416&lt;&gt;"",CONCATENATE("&lt;div class='String_ID_ISSUE'&gt;&lt;b&gt;ID: ",Main!A416,"&lt;/b&gt; - &lt;i&gt;",Main!I416,"pt, tracking ",Main!J416,", ",Main!K416," line(s)&lt;/i&gt;&lt;/div&gt;&lt;div class=""",Main!N416,""" style='width:",Main!M416,"px; height:",Main!L416,"px'&gt;",Main!H416,"&lt;/div&gt;&lt;br&gt;",IF(Main!A417="","&lt;/body&gt;
&lt;/html&gt;","")),"")</f>
        <v/>
      </c>
    </row>
    <row r="415" spans="1:1" x14ac:dyDescent="0.25">
      <c r="A415" s="1" t="str">
        <f>IF(Main!A417&lt;&gt;"",CONCATENATE("&lt;div class='String_ID_ISSUE'&gt;&lt;b&gt;ID: ",Main!A417,"&lt;/b&gt; - &lt;i&gt;",Main!I417,"pt, tracking ",Main!J417,", ",Main!K417," line(s)&lt;/i&gt;&lt;/div&gt;&lt;div class=""",Main!N417,""" style='width:",Main!M417,"px; height:",Main!L417,"px'&gt;",Main!H417,"&lt;/div&gt;&lt;br&gt;",IF(Main!A418="","&lt;/body&gt;
&lt;/html&gt;","")),"")</f>
        <v/>
      </c>
    </row>
    <row r="416" spans="1:1" x14ac:dyDescent="0.25">
      <c r="A416" s="1" t="str">
        <f>IF(Main!A418&lt;&gt;"",CONCATENATE("&lt;div class='String_ID_ISSUE'&gt;&lt;b&gt;ID: ",Main!A418,"&lt;/b&gt; - &lt;i&gt;",Main!I418,"pt, tracking ",Main!J418,", ",Main!K418," line(s)&lt;/i&gt;&lt;/div&gt;&lt;div class=""",Main!N418,""" style='width:",Main!M418,"px; height:",Main!L418,"px'&gt;",Main!H418,"&lt;/div&gt;&lt;br&gt;",IF(Main!A419="","&lt;/body&gt;
&lt;/html&gt;","")),"")</f>
        <v/>
      </c>
    </row>
    <row r="417" spans="1:1" x14ac:dyDescent="0.25">
      <c r="A417" s="1" t="str">
        <f>IF(Main!A419&lt;&gt;"",CONCATENATE("&lt;div class='String_ID_ISSUE'&gt;&lt;b&gt;ID: ",Main!A419,"&lt;/b&gt; - &lt;i&gt;",Main!I419,"pt, tracking ",Main!J419,", ",Main!K419," line(s)&lt;/i&gt;&lt;/div&gt;&lt;div class=""",Main!N419,""" style='width:",Main!M419,"px; height:",Main!L419,"px'&gt;",Main!H419,"&lt;/div&gt;&lt;br&gt;",IF(Main!A420="","&lt;/body&gt;
&lt;/html&gt;","")),"")</f>
        <v/>
      </c>
    </row>
    <row r="418" spans="1:1" x14ac:dyDescent="0.25">
      <c r="A418" s="1" t="str">
        <f>IF(Main!A420&lt;&gt;"",CONCATENATE("&lt;div class='String_ID_ISSUE'&gt;&lt;b&gt;ID: ",Main!A420,"&lt;/b&gt; - &lt;i&gt;",Main!I420,"pt, tracking ",Main!J420,", ",Main!K420," line(s)&lt;/i&gt;&lt;/div&gt;&lt;div class=""",Main!N420,""" style='width:",Main!M420,"px; height:",Main!L420,"px'&gt;",Main!H420,"&lt;/div&gt;&lt;br&gt;",IF(Main!A421="","&lt;/body&gt;
&lt;/html&gt;","")),"")</f>
        <v/>
      </c>
    </row>
    <row r="419" spans="1:1" x14ac:dyDescent="0.25">
      <c r="A419" s="1" t="str">
        <f>IF(Main!A421&lt;&gt;"",CONCATENATE("&lt;div class='String_ID_ISSUE'&gt;&lt;b&gt;ID: ",Main!A421,"&lt;/b&gt; - &lt;i&gt;",Main!I421,"pt, tracking ",Main!J421,", ",Main!K421," line(s)&lt;/i&gt;&lt;/div&gt;&lt;div class=""",Main!N421,""" style='width:",Main!M421,"px; height:",Main!L421,"px'&gt;",Main!H421,"&lt;/div&gt;&lt;br&gt;",IF(Main!A422="","&lt;/body&gt;
&lt;/html&gt;","")),"")</f>
        <v/>
      </c>
    </row>
    <row r="420" spans="1:1" x14ac:dyDescent="0.25">
      <c r="A420" s="1" t="str">
        <f>IF(Main!A422&lt;&gt;"",CONCATENATE("&lt;div class='String_ID_ISSUE'&gt;&lt;b&gt;ID: ",Main!A422,"&lt;/b&gt; - &lt;i&gt;",Main!I422,"pt, tracking ",Main!J422,", ",Main!K422," line(s)&lt;/i&gt;&lt;/div&gt;&lt;div class=""",Main!N422,""" style='width:",Main!M422,"px; height:",Main!L422,"px'&gt;",Main!H422,"&lt;/div&gt;&lt;br&gt;",IF(Main!A423="","&lt;/body&gt;
&lt;/html&gt;","")),"")</f>
        <v/>
      </c>
    </row>
    <row r="421" spans="1:1" x14ac:dyDescent="0.25">
      <c r="A421" s="1" t="str">
        <f>IF(Main!A423&lt;&gt;"",CONCATENATE("&lt;div class='String_ID_ISSUE'&gt;&lt;b&gt;ID: ",Main!A423,"&lt;/b&gt; - &lt;i&gt;",Main!I423,"pt, tracking ",Main!J423,", ",Main!K423," line(s)&lt;/i&gt;&lt;/div&gt;&lt;div class=""",Main!N423,""" style='width:",Main!M423,"px; height:",Main!L423,"px'&gt;",Main!H423,"&lt;/div&gt;&lt;br&gt;",IF(Main!A424="","&lt;/body&gt;
&lt;/html&gt;","")),"")</f>
        <v/>
      </c>
    </row>
    <row r="422" spans="1:1" x14ac:dyDescent="0.25">
      <c r="A422" s="1" t="str">
        <f>IF(Main!A424&lt;&gt;"",CONCATENATE("&lt;div class='String_ID_ISSUE'&gt;&lt;b&gt;ID: ",Main!A424,"&lt;/b&gt; - &lt;i&gt;",Main!I424,"pt, tracking ",Main!J424,", ",Main!K424," line(s)&lt;/i&gt;&lt;/div&gt;&lt;div class=""",Main!N424,""" style='width:",Main!M424,"px; height:",Main!L424,"px'&gt;",Main!H424,"&lt;/div&gt;&lt;br&gt;",IF(Main!A425="","&lt;/body&gt;
&lt;/html&gt;","")),"")</f>
        <v/>
      </c>
    </row>
    <row r="423" spans="1:1" x14ac:dyDescent="0.25">
      <c r="A423" s="1" t="str">
        <f>IF(Main!A425&lt;&gt;"",CONCATENATE("&lt;div class='String_ID_ISSUE'&gt;&lt;b&gt;ID: ",Main!A425,"&lt;/b&gt; - &lt;i&gt;",Main!I425,"pt, tracking ",Main!J425,", ",Main!K425," line(s)&lt;/i&gt;&lt;/div&gt;&lt;div class=""",Main!N425,""" style='width:",Main!M425,"px; height:",Main!L425,"px'&gt;",Main!H425,"&lt;/div&gt;&lt;br&gt;",IF(Main!A426="","&lt;/body&gt;
&lt;/html&gt;","")),"")</f>
        <v/>
      </c>
    </row>
    <row r="424" spans="1:1" x14ac:dyDescent="0.25">
      <c r="A424" s="1" t="str">
        <f>IF(Main!A426&lt;&gt;"",CONCATENATE("&lt;div class='String_ID_ISSUE'&gt;&lt;b&gt;ID: ",Main!A426,"&lt;/b&gt; - &lt;i&gt;",Main!I426,"pt, tracking ",Main!J426,", ",Main!K426," line(s)&lt;/i&gt;&lt;/div&gt;&lt;div class=""",Main!N426,""" style='width:",Main!M426,"px; height:",Main!L426,"px'&gt;",Main!H426,"&lt;/div&gt;&lt;br&gt;",IF(Main!A427="","&lt;/body&gt;
&lt;/html&gt;","")),"")</f>
        <v/>
      </c>
    </row>
    <row r="425" spans="1:1" x14ac:dyDescent="0.25">
      <c r="A425" s="1" t="str">
        <f>IF(Main!A427&lt;&gt;"",CONCATENATE("&lt;div class='String_ID_ISSUE'&gt;&lt;b&gt;ID: ",Main!A427,"&lt;/b&gt; - &lt;i&gt;",Main!I427,"pt, tracking ",Main!J427,", ",Main!K427," line(s)&lt;/i&gt;&lt;/div&gt;&lt;div class=""",Main!N427,""" style='width:",Main!M427,"px; height:",Main!L427,"px'&gt;",Main!H427,"&lt;/div&gt;&lt;br&gt;",IF(Main!A428="","&lt;/body&gt;
&lt;/html&gt;","")),"")</f>
        <v/>
      </c>
    </row>
    <row r="426" spans="1:1" x14ac:dyDescent="0.25">
      <c r="A426" s="1" t="str">
        <f>IF(Main!A428&lt;&gt;"",CONCATENATE("&lt;div class='String_ID_ISSUE'&gt;&lt;b&gt;ID: ",Main!A428,"&lt;/b&gt; - &lt;i&gt;",Main!I428,"pt, tracking ",Main!J428,", ",Main!K428," line(s)&lt;/i&gt;&lt;/div&gt;&lt;div class=""",Main!N428,""" style='width:",Main!M428,"px; height:",Main!L428,"px'&gt;",Main!H428,"&lt;/div&gt;&lt;br&gt;",IF(Main!A429="","&lt;/body&gt;
&lt;/html&gt;","")),"")</f>
        <v/>
      </c>
    </row>
    <row r="427" spans="1:1" x14ac:dyDescent="0.25">
      <c r="A427" s="1" t="str">
        <f>IF(Main!A429&lt;&gt;"",CONCATENATE("&lt;div class='String_ID_ISSUE'&gt;&lt;b&gt;ID: ",Main!A429,"&lt;/b&gt; - &lt;i&gt;",Main!I429,"pt, tracking ",Main!J429,", ",Main!K429," line(s)&lt;/i&gt;&lt;/div&gt;&lt;div class=""",Main!N429,""" style='width:",Main!M429,"px; height:",Main!L429,"px'&gt;",Main!H429,"&lt;/div&gt;&lt;br&gt;",IF(Main!A430="","&lt;/body&gt;
&lt;/html&gt;","")),"")</f>
        <v/>
      </c>
    </row>
    <row r="428" spans="1:1" x14ac:dyDescent="0.25">
      <c r="A428" s="1" t="str">
        <f>IF(Main!A430&lt;&gt;"",CONCATENATE("&lt;div class='String_ID_ISSUE'&gt;&lt;b&gt;ID: ",Main!A430,"&lt;/b&gt; - &lt;i&gt;",Main!I430,"pt, tracking ",Main!J430,", ",Main!K430," line(s)&lt;/i&gt;&lt;/div&gt;&lt;div class=""",Main!N430,""" style='width:",Main!M430,"px; height:",Main!L430,"px'&gt;",Main!H430,"&lt;/div&gt;&lt;br&gt;",IF(Main!A431="","&lt;/body&gt;
&lt;/html&gt;","")),"")</f>
        <v/>
      </c>
    </row>
    <row r="429" spans="1:1" x14ac:dyDescent="0.25">
      <c r="A429" s="1" t="str">
        <f>IF(Main!A431&lt;&gt;"",CONCATENATE("&lt;div class='String_ID_ISSUE'&gt;&lt;b&gt;ID: ",Main!A431,"&lt;/b&gt; - &lt;i&gt;",Main!I431,"pt, tracking ",Main!J431,", ",Main!K431," line(s)&lt;/i&gt;&lt;/div&gt;&lt;div class=""",Main!N431,""" style='width:",Main!M431,"px; height:",Main!L431,"px'&gt;",Main!H431,"&lt;/div&gt;&lt;br&gt;",IF(Main!A432="","&lt;/body&gt;
&lt;/html&gt;","")),"")</f>
        <v/>
      </c>
    </row>
    <row r="430" spans="1:1" x14ac:dyDescent="0.25">
      <c r="A430" s="1" t="str">
        <f>IF(Main!A432&lt;&gt;"",CONCATENATE("&lt;div class='String_ID_ISSUE'&gt;&lt;b&gt;ID: ",Main!A432,"&lt;/b&gt; - &lt;i&gt;",Main!I432,"pt, tracking ",Main!J432,", ",Main!K432," line(s)&lt;/i&gt;&lt;/div&gt;&lt;div class=""",Main!N432,""" style='width:",Main!M432,"px; height:",Main!L432,"px'&gt;",Main!H432,"&lt;/div&gt;&lt;br&gt;",IF(Main!A433="","&lt;/body&gt;
&lt;/html&gt;","")),"")</f>
        <v/>
      </c>
    </row>
    <row r="431" spans="1:1" x14ac:dyDescent="0.25">
      <c r="A431" s="1" t="str">
        <f>IF(Main!A433&lt;&gt;"",CONCATENATE("&lt;div class='String_ID_ISSUE'&gt;&lt;b&gt;ID: ",Main!A433,"&lt;/b&gt; - &lt;i&gt;",Main!I433,"pt, tracking ",Main!J433,", ",Main!K433," line(s)&lt;/i&gt;&lt;/div&gt;&lt;div class=""",Main!N433,""" style='width:",Main!M433,"px; height:",Main!L433,"px'&gt;",Main!H433,"&lt;/div&gt;&lt;br&gt;",IF(Main!A434="","&lt;/body&gt;
&lt;/html&gt;","")),"")</f>
        <v/>
      </c>
    </row>
    <row r="432" spans="1:1" x14ac:dyDescent="0.25">
      <c r="A432" s="1" t="str">
        <f>IF(Main!A434&lt;&gt;"",CONCATENATE("&lt;div class='String_ID_ISSUE'&gt;&lt;b&gt;ID: ",Main!A434,"&lt;/b&gt; - &lt;i&gt;",Main!I434,"pt, tracking ",Main!J434,", ",Main!K434," line(s)&lt;/i&gt;&lt;/div&gt;&lt;div class=""",Main!N434,""" style='width:",Main!M434,"px; height:",Main!L434,"px'&gt;",Main!H434,"&lt;/div&gt;&lt;br&gt;",IF(Main!A435="","&lt;/body&gt;
&lt;/html&gt;","")),"")</f>
        <v/>
      </c>
    </row>
    <row r="433" spans="1:1" x14ac:dyDescent="0.25">
      <c r="A433" s="1" t="str">
        <f>IF(Main!A435&lt;&gt;"",CONCATENATE("&lt;div class='String_ID_ISSUE'&gt;&lt;b&gt;ID: ",Main!A435,"&lt;/b&gt; - &lt;i&gt;",Main!I435,"pt, tracking ",Main!J435,", ",Main!K435," line(s)&lt;/i&gt;&lt;/div&gt;&lt;div class=""",Main!N435,""" style='width:",Main!M435,"px; height:",Main!L435,"px'&gt;",Main!H435,"&lt;/div&gt;&lt;br&gt;",IF(Main!A436="","&lt;/body&gt;
&lt;/html&gt;","")),"")</f>
        <v/>
      </c>
    </row>
    <row r="434" spans="1:1" x14ac:dyDescent="0.25">
      <c r="A434" s="1" t="str">
        <f>IF(Main!A436&lt;&gt;"",CONCATENATE("&lt;div class='String_ID_ISSUE'&gt;&lt;b&gt;ID: ",Main!A436,"&lt;/b&gt; - &lt;i&gt;",Main!I436,"pt, tracking ",Main!J436,", ",Main!K436," line(s)&lt;/i&gt;&lt;/div&gt;&lt;div class=""",Main!N436,""" style='width:",Main!M436,"px; height:",Main!L436,"px'&gt;",Main!H436,"&lt;/div&gt;&lt;br&gt;",IF(Main!A437="","&lt;/body&gt;
&lt;/html&gt;","")),"")</f>
        <v/>
      </c>
    </row>
    <row r="435" spans="1:1" x14ac:dyDescent="0.25">
      <c r="A435" s="1" t="str">
        <f>IF(Main!A437&lt;&gt;"",CONCATENATE("&lt;div class='String_ID_ISSUE'&gt;&lt;b&gt;ID: ",Main!A437,"&lt;/b&gt; - &lt;i&gt;",Main!I437,"pt, tracking ",Main!J437,", ",Main!K437," line(s)&lt;/i&gt;&lt;/div&gt;&lt;div class=""",Main!N437,""" style='width:",Main!M437,"px; height:",Main!L437,"px'&gt;",Main!H437,"&lt;/div&gt;&lt;br&gt;",IF(Main!A438="","&lt;/body&gt;
&lt;/html&gt;","")),"")</f>
        <v/>
      </c>
    </row>
    <row r="436" spans="1:1" x14ac:dyDescent="0.25">
      <c r="A436" s="1" t="str">
        <f>IF(Main!A438&lt;&gt;"",CONCATENATE("&lt;div class='String_ID_ISSUE'&gt;&lt;b&gt;ID: ",Main!A438,"&lt;/b&gt; - &lt;i&gt;",Main!I438,"pt, tracking ",Main!J438,", ",Main!K438," line(s)&lt;/i&gt;&lt;/div&gt;&lt;div class=""",Main!N438,""" style='width:",Main!M438,"px; height:",Main!L438,"px'&gt;",Main!H438,"&lt;/div&gt;&lt;br&gt;",IF(Main!A439="","&lt;/body&gt;
&lt;/html&gt;","")),"")</f>
        <v/>
      </c>
    </row>
    <row r="437" spans="1:1" x14ac:dyDescent="0.25">
      <c r="A437" s="1" t="str">
        <f>IF(Main!A439&lt;&gt;"",CONCATENATE("&lt;div class='String_ID_ISSUE'&gt;&lt;b&gt;ID: ",Main!A439,"&lt;/b&gt; - &lt;i&gt;",Main!I439,"pt, tracking ",Main!J439,", ",Main!K439," line(s)&lt;/i&gt;&lt;/div&gt;&lt;div class=""",Main!N439,""" style='width:",Main!M439,"px; height:",Main!L439,"px'&gt;",Main!H439,"&lt;/div&gt;&lt;br&gt;",IF(Main!A440="","&lt;/body&gt;
&lt;/html&gt;","")),"")</f>
        <v/>
      </c>
    </row>
    <row r="438" spans="1:1" x14ac:dyDescent="0.25">
      <c r="A438" s="1" t="str">
        <f>IF(Main!A440&lt;&gt;"",CONCATENATE("&lt;div class='String_ID_ISSUE'&gt;&lt;b&gt;ID: ",Main!A440,"&lt;/b&gt; - &lt;i&gt;",Main!I440,"pt, tracking ",Main!J440,", ",Main!K440," line(s)&lt;/i&gt;&lt;/div&gt;&lt;div class=""",Main!N440,""" style='width:",Main!M440,"px; height:",Main!L440,"px'&gt;",Main!H440,"&lt;/div&gt;&lt;br&gt;",IF(Main!A441="","&lt;/body&gt;
&lt;/html&gt;","")),"")</f>
        <v/>
      </c>
    </row>
    <row r="439" spans="1:1" x14ac:dyDescent="0.25">
      <c r="A439" s="1" t="str">
        <f>IF(Main!A441&lt;&gt;"",CONCATENATE("&lt;div class='String_ID_ISSUE'&gt;&lt;b&gt;ID: ",Main!A441,"&lt;/b&gt; - &lt;i&gt;",Main!I441,"pt, tracking ",Main!J441,", ",Main!K441," line(s)&lt;/i&gt;&lt;/div&gt;&lt;div class=""",Main!N441,""" style='width:",Main!M441,"px; height:",Main!L441,"px'&gt;",Main!H441,"&lt;/div&gt;&lt;br&gt;",IF(Main!A442="","&lt;/body&gt;
&lt;/html&gt;","")),"")</f>
        <v/>
      </c>
    </row>
    <row r="440" spans="1:1" x14ac:dyDescent="0.25">
      <c r="A440" s="1" t="str">
        <f>IF(Main!A442&lt;&gt;"",CONCATENATE("&lt;div class='String_ID_ISSUE'&gt;&lt;b&gt;ID: ",Main!A442,"&lt;/b&gt; - &lt;i&gt;",Main!I442,"pt, tracking ",Main!J442,", ",Main!K442," line(s)&lt;/i&gt;&lt;/div&gt;&lt;div class=""",Main!N442,""" style='width:",Main!M442,"px; height:",Main!L442,"px'&gt;",Main!H442,"&lt;/div&gt;&lt;br&gt;",IF(Main!A443="","&lt;/body&gt;
&lt;/html&gt;","")),"")</f>
        <v/>
      </c>
    </row>
    <row r="441" spans="1:1" x14ac:dyDescent="0.25">
      <c r="A441" s="1" t="str">
        <f>IF(Main!A443&lt;&gt;"",CONCATENATE("&lt;div class='String_ID_ISSUE'&gt;&lt;b&gt;ID: ",Main!A443,"&lt;/b&gt; - &lt;i&gt;",Main!I443,"pt, tracking ",Main!J443,", ",Main!K443," line(s)&lt;/i&gt;&lt;/div&gt;&lt;div class=""",Main!N443,""" style='width:",Main!M443,"px; height:",Main!L443,"px'&gt;",Main!H443,"&lt;/div&gt;&lt;br&gt;",IF(Main!A444="","&lt;/body&gt;
&lt;/html&gt;","")),"")</f>
        <v/>
      </c>
    </row>
    <row r="442" spans="1:1" x14ac:dyDescent="0.25">
      <c r="A442" s="1" t="str">
        <f>IF(Main!A444&lt;&gt;"",CONCATENATE("&lt;div class='String_ID_ISSUE'&gt;&lt;b&gt;ID: ",Main!A444,"&lt;/b&gt; - &lt;i&gt;",Main!I444,"pt, tracking ",Main!J444,", ",Main!K444," line(s)&lt;/i&gt;&lt;/div&gt;&lt;div class=""",Main!N444,""" style='width:",Main!M444,"px; height:",Main!L444,"px'&gt;",Main!H444,"&lt;/div&gt;&lt;br&gt;",IF(Main!A445="","&lt;/body&gt;
&lt;/html&gt;","")),"")</f>
        <v/>
      </c>
    </row>
    <row r="443" spans="1:1" x14ac:dyDescent="0.25">
      <c r="A443" s="1" t="str">
        <f>IF(Main!A445&lt;&gt;"",CONCATENATE("&lt;div class='String_ID_ISSUE'&gt;&lt;b&gt;ID: ",Main!A445,"&lt;/b&gt; - &lt;i&gt;",Main!I445,"pt, tracking ",Main!J445,", ",Main!K445," line(s)&lt;/i&gt;&lt;/div&gt;&lt;div class=""",Main!N445,""" style='width:",Main!M445,"px; height:",Main!L445,"px'&gt;",Main!H445,"&lt;/div&gt;&lt;br&gt;",IF(Main!A446="","&lt;/body&gt;
&lt;/html&gt;","")),"")</f>
        <v/>
      </c>
    </row>
    <row r="444" spans="1:1" x14ac:dyDescent="0.25">
      <c r="A444" s="1" t="str">
        <f>IF(Main!A446&lt;&gt;"",CONCATENATE("&lt;div class='String_ID_ISSUE'&gt;&lt;b&gt;ID: ",Main!A446,"&lt;/b&gt; - &lt;i&gt;",Main!I446,"pt, tracking ",Main!J446,", ",Main!K446," line(s)&lt;/i&gt;&lt;/div&gt;&lt;div class=""",Main!N446,""" style='width:",Main!M446,"px; height:",Main!L446,"px'&gt;",Main!H446,"&lt;/div&gt;&lt;br&gt;",IF(Main!A447="","&lt;/body&gt;
&lt;/html&gt;","")),"")</f>
        <v/>
      </c>
    </row>
    <row r="445" spans="1:1" x14ac:dyDescent="0.25">
      <c r="A445" s="1" t="str">
        <f>IF(Main!A447&lt;&gt;"",CONCATENATE("&lt;div class='String_ID_ISSUE'&gt;&lt;b&gt;ID: ",Main!A447,"&lt;/b&gt; - &lt;i&gt;",Main!I447,"pt, tracking ",Main!J447,", ",Main!K447," line(s)&lt;/i&gt;&lt;/div&gt;&lt;div class=""",Main!N447,""" style='width:",Main!M447,"px; height:",Main!L447,"px'&gt;",Main!H447,"&lt;/div&gt;&lt;br&gt;",IF(Main!A448="","&lt;/body&gt;
&lt;/html&gt;","")),"")</f>
        <v/>
      </c>
    </row>
    <row r="446" spans="1:1" x14ac:dyDescent="0.25">
      <c r="A446" s="1" t="str">
        <f>IF(Main!A448&lt;&gt;"",CONCATENATE("&lt;div class='String_ID_ISSUE'&gt;&lt;b&gt;ID: ",Main!A448,"&lt;/b&gt; - &lt;i&gt;",Main!I448,"pt, tracking ",Main!J448,", ",Main!K448," line(s)&lt;/i&gt;&lt;/div&gt;&lt;div class=""",Main!N448,""" style='width:",Main!M448,"px; height:",Main!L448,"px'&gt;",Main!H448,"&lt;/div&gt;&lt;br&gt;",IF(Main!A449="","&lt;/body&gt;
&lt;/html&gt;","")),"")</f>
        <v/>
      </c>
    </row>
    <row r="447" spans="1:1" x14ac:dyDescent="0.25">
      <c r="A447" s="1" t="str">
        <f>IF(Main!A449&lt;&gt;"",CONCATENATE("&lt;div class='String_ID_ISSUE'&gt;&lt;b&gt;ID: ",Main!A449,"&lt;/b&gt; - &lt;i&gt;",Main!I449,"pt, tracking ",Main!J449,", ",Main!K449," line(s)&lt;/i&gt;&lt;/div&gt;&lt;div class=""",Main!N449,""" style='width:",Main!M449,"px; height:",Main!L449,"px'&gt;",Main!H449,"&lt;/div&gt;&lt;br&gt;",IF(Main!A450="","&lt;/body&gt;
&lt;/html&gt;","")),"")</f>
        <v/>
      </c>
    </row>
    <row r="448" spans="1:1" x14ac:dyDescent="0.25">
      <c r="A448" s="1" t="str">
        <f>IF(Main!A450&lt;&gt;"",CONCATENATE("&lt;div class='String_ID_ISSUE'&gt;&lt;b&gt;ID: ",Main!A450,"&lt;/b&gt; - &lt;i&gt;",Main!I450,"pt, tracking ",Main!J450,", ",Main!K450," line(s)&lt;/i&gt;&lt;/div&gt;&lt;div class=""",Main!N450,""" style='width:",Main!M450,"px; height:",Main!L450,"px'&gt;",Main!H450,"&lt;/div&gt;&lt;br&gt;",IF(Main!A451="","&lt;/body&gt;
&lt;/html&gt;","")),"")</f>
        <v/>
      </c>
    </row>
    <row r="449" spans="1:1" x14ac:dyDescent="0.25">
      <c r="A449" s="1" t="str">
        <f>IF(Main!A451&lt;&gt;"",CONCATENATE("&lt;div class='String_ID_ISSUE'&gt;&lt;b&gt;ID: ",Main!A451,"&lt;/b&gt; - &lt;i&gt;",Main!I451,"pt, tracking ",Main!J451,", ",Main!K451," line(s)&lt;/i&gt;&lt;/div&gt;&lt;div class=""",Main!N451,""" style='width:",Main!M451,"px; height:",Main!L451,"px'&gt;",Main!H451,"&lt;/div&gt;&lt;br&gt;",IF(Main!A452="","&lt;/body&gt;
&lt;/html&gt;","")),"")</f>
        <v/>
      </c>
    </row>
    <row r="450" spans="1:1" x14ac:dyDescent="0.25">
      <c r="A450" s="1" t="str">
        <f>IF(Main!A452&lt;&gt;"",CONCATENATE("&lt;div class='String_ID_ISSUE'&gt;&lt;b&gt;ID: ",Main!A452,"&lt;/b&gt; - &lt;i&gt;",Main!I452,"pt, tracking ",Main!J452,", ",Main!K452," line(s)&lt;/i&gt;&lt;/div&gt;&lt;div class=""",Main!N452,""" style='width:",Main!M452,"px; height:",Main!L452,"px'&gt;",Main!H452,"&lt;/div&gt;&lt;br&gt;",IF(Main!A453="","&lt;/body&gt;
&lt;/html&gt;","")),"")</f>
        <v/>
      </c>
    </row>
    <row r="451" spans="1:1" x14ac:dyDescent="0.25">
      <c r="A451" s="1" t="str">
        <f>IF(Main!A453&lt;&gt;"",CONCATENATE("&lt;div class='String_ID_ISSUE'&gt;&lt;b&gt;ID: ",Main!A453,"&lt;/b&gt; - &lt;i&gt;",Main!I453,"pt, tracking ",Main!J453,", ",Main!K453," line(s)&lt;/i&gt;&lt;/div&gt;&lt;div class=""",Main!N453,""" style='width:",Main!M453,"px; height:",Main!L453,"px'&gt;",Main!H453,"&lt;/div&gt;&lt;br&gt;",IF(Main!A454="","&lt;/body&gt;
&lt;/html&gt;","")),"")</f>
        <v/>
      </c>
    </row>
    <row r="452" spans="1:1" x14ac:dyDescent="0.25">
      <c r="A452" s="1" t="str">
        <f>IF(Main!A454&lt;&gt;"",CONCATENATE("&lt;div class='String_ID_ISSUE'&gt;&lt;b&gt;ID: ",Main!A454,"&lt;/b&gt; - &lt;i&gt;",Main!I454,"pt, tracking ",Main!J454,", ",Main!K454," line(s)&lt;/i&gt;&lt;/div&gt;&lt;div class=""",Main!N454,""" style='width:",Main!M454,"px; height:",Main!L454,"px'&gt;",Main!H454,"&lt;/div&gt;&lt;br&gt;",IF(Main!A455="","&lt;/body&gt;
&lt;/html&gt;","")),"")</f>
        <v/>
      </c>
    </row>
    <row r="453" spans="1:1" x14ac:dyDescent="0.25">
      <c r="A453" s="1" t="str">
        <f>IF(Main!A455&lt;&gt;"",CONCATENATE("&lt;div class='String_ID_ISSUE'&gt;&lt;b&gt;ID: ",Main!A455,"&lt;/b&gt; - &lt;i&gt;",Main!I455,"pt, tracking ",Main!J455,", ",Main!K455," line(s)&lt;/i&gt;&lt;/div&gt;&lt;div class=""",Main!N455,""" style='width:",Main!M455,"px; height:",Main!L455,"px'&gt;",Main!H455,"&lt;/div&gt;&lt;br&gt;",IF(Main!A456="","&lt;/body&gt;
&lt;/html&gt;","")),"")</f>
        <v/>
      </c>
    </row>
    <row r="454" spans="1:1" x14ac:dyDescent="0.25">
      <c r="A454" s="1" t="str">
        <f>IF(Main!A456&lt;&gt;"",CONCATENATE("&lt;div class='String_ID_ISSUE'&gt;&lt;b&gt;ID: ",Main!A456,"&lt;/b&gt; - &lt;i&gt;",Main!I456,"pt, tracking ",Main!J456,", ",Main!K456," line(s)&lt;/i&gt;&lt;/div&gt;&lt;div class=""",Main!N456,""" style='width:",Main!M456,"px; height:",Main!L456,"px'&gt;",Main!H456,"&lt;/div&gt;&lt;br&gt;",IF(Main!A457="","&lt;/body&gt;
&lt;/html&gt;","")),"")</f>
        <v/>
      </c>
    </row>
    <row r="455" spans="1:1" x14ac:dyDescent="0.25">
      <c r="A455" s="1" t="str">
        <f>IF(Main!A457&lt;&gt;"",CONCATENATE("&lt;div class='String_ID_ISSUE'&gt;&lt;b&gt;ID: ",Main!A457,"&lt;/b&gt; - &lt;i&gt;",Main!I457,"pt, tracking ",Main!J457,", ",Main!K457," line(s)&lt;/i&gt;&lt;/div&gt;&lt;div class=""",Main!N457,""" style='width:",Main!M457,"px; height:",Main!L457,"px'&gt;",Main!H457,"&lt;/div&gt;&lt;br&gt;",IF(Main!A458="","&lt;/body&gt;
&lt;/html&gt;","")),"")</f>
        <v/>
      </c>
    </row>
    <row r="456" spans="1:1" x14ac:dyDescent="0.25">
      <c r="A456" s="1" t="str">
        <f>IF(Main!A458&lt;&gt;"",CONCATENATE("&lt;div class='String_ID_ISSUE'&gt;&lt;b&gt;ID: ",Main!A458,"&lt;/b&gt; - &lt;i&gt;",Main!I458,"pt, tracking ",Main!J458,", ",Main!K458," line(s)&lt;/i&gt;&lt;/div&gt;&lt;div class=""",Main!N458,""" style='width:",Main!M458,"px; height:",Main!L458,"px'&gt;",Main!H458,"&lt;/div&gt;&lt;br&gt;",IF(Main!A459="","&lt;/body&gt;
&lt;/html&gt;","")),"")</f>
        <v/>
      </c>
    </row>
    <row r="457" spans="1:1" x14ac:dyDescent="0.25">
      <c r="A457" s="1" t="str">
        <f>IF(Main!A459&lt;&gt;"",CONCATENATE("&lt;div class='String_ID_ISSUE'&gt;&lt;b&gt;ID: ",Main!A459,"&lt;/b&gt; - &lt;i&gt;",Main!I459,"pt, tracking ",Main!J459,", ",Main!K459," line(s)&lt;/i&gt;&lt;/div&gt;&lt;div class=""",Main!N459,""" style='width:",Main!M459,"px; height:",Main!L459,"px'&gt;",Main!H459,"&lt;/div&gt;&lt;br&gt;",IF(Main!A460="","&lt;/body&gt;
&lt;/html&gt;","")),"")</f>
        <v/>
      </c>
    </row>
    <row r="458" spans="1:1" x14ac:dyDescent="0.25">
      <c r="A458" s="1" t="str">
        <f>IF(Main!A460&lt;&gt;"",CONCATENATE("&lt;div class='String_ID_ISSUE'&gt;&lt;b&gt;ID: ",Main!A460,"&lt;/b&gt; - &lt;i&gt;",Main!I460,"pt, tracking ",Main!J460,", ",Main!K460," line(s)&lt;/i&gt;&lt;/div&gt;&lt;div class=""",Main!N460,""" style='width:",Main!M460,"px; height:",Main!L460,"px'&gt;",Main!H460,"&lt;/div&gt;&lt;br&gt;",IF(Main!A461="","&lt;/body&gt;
&lt;/html&gt;","")),"")</f>
        <v/>
      </c>
    </row>
    <row r="459" spans="1:1" x14ac:dyDescent="0.25">
      <c r="A459" s="1" t="str">
        <f>IF(Main!A461&lt;&gt;"",CONCATENATE("&lt;div class='String_ID_ISSUE'&gt;&lt;b&gt;ID: ",Main!A461,"&lt;/b&gt; - &lt;i&gt;",Main!I461,"pt, tracking ",Main!J461,", ",Main!K461," line(s)&lt;/i&gt;&lt;/div&gt;&lt;div class=""",Main!N461,""" style='width:",Main!M461,"px; height:",Main!L461,"px'&gt;",Main!H461,"&lt;/div&gt;&lt;br&gt;",IF(Main!A462="","&lt;/body&gt;
&lt;/html&gt;","")),"")</f>
        <v/>
      </c>
    </row>
    <row r="460" spans="1:1" x14ac:dyDescent="0.25">
      <c r="A460" s="1" t="str">
        <f>IF(Main!A462&lt;&gt;"",CONCATENATE("&lt;div class='String_ID_ISSUE'&gt;&lt;b&gt;ID: ",Main!A462,"&lt;/b&gt; - &lt;i&gt;",Main!I462,"pt, tracking ",Main!J462,", ",Main!K462," line(s)&lt;/i&gt;&lt;/div&gt;&lt;div class=""",Main!N462,""" style='width:",Main!M462,"px; height:",Main!L462,"px'&gt;",Main!H462,"&lt;/div&gt;&lt;br&gt;",IF(Main!A463="","&lt;/body&gt;
&lt;/html&gt;","")),"")</f>
        <v/>
      </c>
    </row>
    <row r="461" spans="1:1" x14ac:dyDescent="0.25">
      <c r="A461" s="1" t="str">
        <f>IF(Main!A463&lt;&gt;"",CONCATENATE("&lt;div class='String_ID_ISSUE'&gt;&lt;b&gt;ID: ",Main!A463,"&lt;/b&gt; - &lt;i&gt;",Main!I463,"pt, tracking ",Main!J463,", ",Main!K463," line(s)&lt;/i&gt;&lt;/div&gt;&lt;div class=""",Main!N463,""" style='width:",Main!M463,"px; height:",Main!L463,"px'&gt;",Main!H463,"&lt;/div&gt;&lt;br&gt;",IF(Main!A464="","&lt;/body&gt;
&lt;/html&gt;","")),"")</f>
        <v/>
      </c>
    </row>
    <row r="462" spans="1:1" x14ac:dyDescent="0.25">
      <c r="A462" s="1" t="str">
        <f>IF(Main!A464&lt;&gt;"",CONCATENATE("&lt;div class='String_ID_ISSUE'&gt;&lt;b&gt;ID: ",Main!A464,"&lt;/b&gt; - &lt;i&gt;",Main!I464,"pt, tracking ",Main!J464,", ",Main!K464," line(s)&lt;/i&gt;&lt;/div&gt;&lt;div class=""",Main!N464,""" style='width:",Main!M464,"px; height:",Main!L464,"px'&gt;",Main!H464,"&lt;/div&gt;&lt;br&gt;",IF(Main!A465="","&lt;/body&gt;
&lt;/html&gt;","")),"")</f>
        <v/>
      </c>
    </row>
    <row r="463" spans="1:1" x14ac:dyDescent="0.25">
      <c r="A463" s="1" t="str">
        <f>IF(Main!A465&lt;&gt;"",CONCATENATE("&lt;div class='String_ID_ISSUE'&gt;&lt;b&gt;ID: ",Main!A465,"&lt;/b&gt; - &lt;i&gt;",Main!I465,"pt, tracking ",Main!J465,", ",Main!K465," line(s)&lt;/i&gt;&lt;/div&gt;&lt;div class=""",Main!N465,""" style='width:",Main!M465,"px; height:",Main!L465,"px'&gt;",Main!H465,"&lt;/div&gt;&lt;br&gt;",IF(Main!A466="","&lt;/body&gt;
&lt;/html&gt;","")),"")</f>
        <v/>
      </c>
    </row>
    <row r="464" spans="1:1" x14ac:dyDescent="0.25">
      <c r="A464" s="1" t="str">
        <f>IF(Main!A466&lt;&gt;"",CONCATENATE("&lt;div class='String_ID_ISSUE'&gt;&lt;b&gt;ID: ",Main!A466,"&lt;/b&gt; - &lt;i&gt;",Main!I466,"pt, tracking ",Main!J466,", ",Main!K466," line(s)&lt;/i&gt;&lt;/div&gt;&lt;div class=""",Main!N466,""" style='width:",Main!M466,"px; height:",Main!L466,"px'&gt;",Main!H466,"&lt;/div&gt;&lt;br&gt;",IF(Main!A467="","&lt;/body&gt;
&lt;/html&gt;","")),"")</f>
        <v/>
      </c>
    </row>
    <row r="465" spans="1:1" x14ac:dyDescent="0.25">
      <c r="A465" s="1" t="str">
        <f>IF(Main!A467&lt;&gt;"",CONCATENATE("&lt;div class='String_ID_ISSUE'&gt;&lt;b&gt;ID: ",Main!A467,"&lt;/b&gt; - &lt;i&gt;",Main!I467,"pt, tracking ",Main!J467,", ",Main!K467," line(s)&lt;/i&gt;&lt;/div&gt;&lt;div class=""",Main!N467,""" style='width:",Main!M467,"px; height:",Main!L467,"px'&gt;",Main!H467,"&lt;/div&gt;&lt;br&gt;",IF(Main!A468="","&lt;/body&gt;
&lt;/html&gt;","")),"")</f>
        <v/>
      </c>
    </row>
    <row r="466" spans="1:1" x14ac:dyDescent="0.25">
      <c r="A466" s="1" t="str">
        <f>IF(Main!A468&lt;&gt;"",CONCATENATE("&lt;div class='String_ID_ISSUE'&gt;&lt;b&gt;ID: ",Main!A468,"&lt;/b&gt; - &lt;i&gt;",Main!I468,"pt, tracking ",Main!J468,", ",Main!K468," line(s)&lt;/i&gt;&lt;/div&gt;&lt;div class=""",Main!N468,""" style='width:",Main!M468,"px; height:",Main!L468,"px'&gt;",Main!H468,"&lt;/div&gt;&lt;br&gt;",IF(Main!A469="","&lt;/body&gt;
&lt;/html&gt;","")),"")</f>
        <v/>
      </c>
    </row>
    <row r="467" spans="1:1" x14ac:dyDescent="0.25">
      <c r="A467" s="1" t="str">
        <f>IF(Main!A469&lt;&gt;"",CONCATENATE("&lt;div class='String_ID_ISSUE'&gt;&lt;b&gt;ID: ",Main!A469,"&lt;/b&gt; - &lt;i&gt;",Main!I469,"pt, tracking ",Main!J469,", ",Main!K469," line(s)&lt;/i&gt;&lt;/div&gt;&lt;div class=""",Main!N469,""" style='width:",Main!M469,"px; height:",Main!L469,"px'&gt;",Main!H469,"&lt;/div&gt;&lt;br&gt;",IF(Main!A470="","&lt;/body&gt;
&lt;/html&gt;","")),"")</f>
        <v/>
      </c>
    </row>
    <row r="468" spans="1:1" x14ac:dyDescent="0.25">
      <c r="A468" s="1" t="str">
        <f>IF(Main!A470&lt;&gt;"",CONCATENATE("&lt;div class='String_ID_ISSUE'&gt;&lt;b&gt;ID: ",Main!A470,"&lt;/b&gt; - &lt;i&gt;",Main!I470,"pt, tracking ",Main!J470,", ",Main!K470," line(s)&lt;/i&gt;&lt;/div&gt;&lt;div class=""",Main!N470,""" style='width:",Main!M470,"px; height:",Main!L470,"px'&gt;",Main!H470,"&lt;/div&gt;&lt;br&gt;",IF(Main!A471="","&lt;/body&gt;
&lt;/html&gt;","")),"")</f>
        <v/>
      </c>
    </row>
    <row r="469" spans="1:1" x14ac:dyDescent="0.25">
      <c r="A469" s="1" t="str">
        <f>IF(Main!A471&lt;&gt;"",CONCATENATE("&lt;div class='String_ID_ISSUE'&gt;&lt;b&gt;ID: ",Main!A471,"&lt;/b&gt; - &lt;i&gt;",Main!I471,"pt, tracking ",Main!J471,", ",Main!K471," line(s)&lt;/i&gt;&lt;/div&gt;&lt;div class=""",Main!N471,""" style='width:",Main!M471,"px; height:",Main!L471,"px'&gt;",Main!H471,"&lt;/div&gt;&lt;br&gt;",IF(Main!A472="","&lt;/body&gt;
&lt;/html&gt;","")),"")</f>
        <v/>
      </c>
    </row>
    <row r="470" spans="1:1" x14ac:dyDescent="0.25">
      <c r="A470" s="1" t="str">
        <f>IF(Main!A472&lt;&gt;"",CONCATENATE("&lt;div class='String_ID_ISSUE'&gt;&lt;b&gt;ID: ",Main!A472,"&lt;/b&gt; - &lt;i&gt;",Main!I472,"pt, tracking ",Main!J472,", ",Main!K472," line(s)&lt;/i&gt;&lt;/div&gt;&lt;div class=""",Main!N472,""" style='width:",Main!M472,"px; height:",Main!L472,"px'&gt;",Main!H472,"&lt;/div&gt;&lt;br&gt;",IF(Main!A473="","&lt;/body&gt;
&lt;/html&gt;","")),"")</f>
        <v/>
      </c>
    </row>
    <row r="471" spans="1:1" x14ac:dyDescent="0.25">
      <c r="A471" s="1" t="str">
        <f>IF(Main!A473&lt;&gt;"",CONCATENATE("&lt;div class='String_ID_ISSUE'&gt;&lt;b&gt;ID: ",Main!A473,"&lt;/b&gt; - &lt;i&gt;",Main!I473,"pt, tracking ",Main!J473,", ",Main!K473," line(s)&lt;/i&gt;&lt;/div&gt;&lt;div class=""",Main!N473,""" style='width:",Main!M473,"px; height:",Main!L473,"px'&gt;",Main!H473,"&lt;/div&gt;&lt;br&gt;",IF(Main!A474="","&lt;/body&gt;
&lt;/html&gt;","")),"")</f>
        <v/>
      </c>
    </row>
    <row r="472" spans="1:1" x14ac:dyDescent="0.25">
      <c r="A472" s="1" t="str">
        <f>IF(Main!A474&lt;&gt;"",CONCATENATE("&lt;div class='String_ID_ISSUE'&gt;&lt;b&gt;ID: ",Main!A474,"&lt;/b&gt; - &lt;i&gt;",Main!I474,"pt, tracking ",Main!J474,", ",Main!K474," line(s)&lt;/i&gt;&lt;/div&gt;&lt;div class=""",Main!N474,""" style='width:",Main!M474,"px; height:",Main!L474,"px'&gt;",Main!H474,"&lt;/div&gt;&lt;br&gt;",IF(Main!A475="","&lt;/body&gt;
&lt;/html&gt;","")),"")</f>
        <v/>
      </c>
    </row>
    <row r="473" spans="1:1" x14ac:dyDescent="0.25">
      <c r="A473" s="1" t="str">
        <f>IF(Main!A475&lt;&gt;"",CONCATENATE("&lt;div class='String_ID_ISSUE'&gt;&lt;b&gt;ID: ",Main!A475,"&lt;/b&gt; - &lt;i&gt;",Main!I475,"pt, tracking ",Main!J475,", ",Main!K475," line(s)&lt;/i&gt;&lt;/div&gt;&lt;div class=""",Main!N475,""" style='width:",Main!M475,"px; height:",Main!L475,"px'&gt;",Main!H475,"&lt;/div&gt;&lt;br&gt;",IF(Main!A476="","&lt;/body&gt;
&lt;/html&gt;","")),"")</f>
        <v/>
      </c>
    </row>
    <row r="474" spans="1:1" x14ac:dyDescent="0.25">
      <c r="A474" s="1" t="str">
        <f>IF(Main!A476&lt;&gt;"",CONCATENATE("&lt;div class='String_ID_ISSUE'&gt;&lt;b&gt;ID: ",Main!A476,"&lt;/b&gt; - &lt;i&gt;",Main!I476,"pt, tracking ",Main!J476,", ",Main!K476," line(s)&lt;/i&gt;&lt;/div&gt;&lt;div class=""",Main!N476,""" style='width:",Main!M476,"px; height:",Main!L476,"px'&gt;",Main!H476,"&lt;/div&gt;&lt;br&gt;",IF(Main!A477="","&lt;/body&gt;
&lt;/html&gt;","")),"")</f>
        <v/>
      </c>
    </row>
    <row r="475" spans="1:1" x14ac:dyDescent="0.25">
      <c r="A475" s="1" t="str">
        <f>IF(Main!A477&lt;&gt;"",CONCATENATE("&lt;div class='String_ID_ISSUE'&gt;&lt;b&gt;ID: ",Main!A477,"&lt;/b&gt; - &lt;i&gt;",Main!I477,"pt, tracking ",Main!J477,", ",Main!K477," line(s)&lt;/i&gt;&lt;/div&gt;&lt;div class=""",Main!N477,""" style='width:",Main!M477,"px; height:",Main!L477,"px'&gt;",Main!H477,"&lt;/div&gt;&lt;br&gt;",IF(Main!A478="","&lt;/body&gt;
&lt;/html&gt;","")),"")</f>
        <v/>
      </c>
    </row>
    <row r="476" spans="1:1" x14ac:dyDescent="0.25">
      <c r="A476" s="1" t="str">
        <f>IF(Main!A478&lt;&gt;"",CONCATENATE("&lt;div class='String_ID_ISSUE'&gt;&lt;b&gt;ID: ",Main!A478,"&lt;/b&gt; - &lt;i&gt;",Main!I478,"pt, tracking ",Main!J478,", ",Main!K478," line(s)&lt;/i&gt;&lt;/div&gt;&lt;div class=""",Main!N478,""" style='width:",Main!M478,"px; height:",Main!L478,"px'&gt;",Main!H478,"&lt;/div&gt;&lt;br&gt;",IF(Main!A479="","&lt;/body&gt;
&lt;/html&gt;","")),"")</f>
        <v/>
      </c>
    </row>
    <row r="477" spans="1:1" x14ac:dyDescent="0.25">
      <c r="A477" s="1" t="str">
        <f>IF(Main!A479&lt;&gt;"",CONCATENATE("&lt;div class='String_ID_ISSUE'&gt;&lt;b&gt;ID: ",Main!A479,"&lt;/b&gt; - &lt;i&gt;",Main!I479,"pt, tracking ",Main!J479,", ",Main!K479," line(s)&lt;/i&gt;&lt;/div&gt;&lt;div class=""",Main!N479,""" style='width:",Main!M479,"px; height:",Main!L479,"px'&gt;",Main!H479,"&lt;/div&gt;&lt;br&gt;",IF(Main!A480="","&lt;/body&gt;
&lt;/html&gt;","")),"")</f>
        <v/>
      </c>
    </row>
    <row r="478" spans="1:1" x14ac:dyDescent="0.25">
      <c r="A478" s="1" t="str">
        <f>IF(Main!A480&lt;&gt;"",CONCATENATE("&lt;div class='String_ID_ISSUE'&gt;&lt;b&gt;ID: ",Main!A480,"&lt;/b&gt; - &lt;i&gt;",Main!I480,"pt, tracking ",Main!J480,", ",Main!K480," line(s)&lt;/i&gt;&lt;/div&gt;&lt;div class=""",Main!N480,""" style='width:",Main!M480,"px; height:",Main!L480,"px'&gt;",Main!H480,"&lt;/div&gt;&lt;br&gt;",IF(Main!A481="","&lt;/body&gt;
&lt;/html&gt;","")),"")</f>
        <v/>
      </c>
    </row>
    <row r="479" spans="1:1" x14ac:dyDescent="0.25">
      <c r="A479" s="1" t="str">
        <f>IF(Main!A481&lt;&gt;"",CONCATENATE("&lt;div class='String_ID_ISSUE'&gt;&lt;b&gt;ID: ",Main!A481,"&lt;/b&gt; - &lt;i&gt;",Main!I481,"pt, tracking ",Main!J481,", ",Main!K481," line(s)&lt;/i&gt;&lt;/div&gt;&lt;div class=""",Main!N481,""" style='width:",Main!M481,"px; height:",Main!L481,"px'&gt;",Main!H481,"&lt;/div&gt;&lt;br&gt;",IF(Main!A482="","&lt;/body&gt;
&lt;/html&gt;","")),"")</f>
        <v/>
      </c>
    </row>
    <row r="480" spans="1:1" x14ac:dyDescent="0.25">
      <c r="A480" s="1" t="str">
        <f>IF(Main!A482&lt;&gt;"",CONCATENATE("&lt;div class='String_ID_ISSUE'&gt;&lt;b&gt;ID: ",Main!A482,"&lt;/b&gt; - &lt;i&gt;",Main!I482,"pt, tracking ",Main!J482,", ",Main!K482," line(s)&lt;/i&gt;&lt;/div&gt;&lt;div class=""",Main!N482,""" style='width:",Main!M482,"px; height:",Main!L482,"px'&gt;",Main!H482,"&lt;/div&gt;&lt;br&gt;",IF(Main!A483="","&lt;/body&gt;
&lt;/html&gt;","")),"")</f>
        <v/>
      </c>
    </row>
    <row r="481" spans="1:1" x14ac:dyDescent="0.25">
      <c r="A481" s="1" t="str">
        <f>IF(Main!A483&lt;&gt;"",CONCATENATE("&lt;div class='String_ID_ISSUE'&gt;&lt;b&gt;ID: ",Main!A483,"&lt;/b&gt; - &lt;i&gt;",Main!I483,"pt, tracking ",Main!J483,", ",Main!K483," line(s)&lt;/i&gt;&lt;/div&gt;&lt;div class=""",Main!N483,""" style='width:",Main!M483,"px; height:",Main!L483,"px'&gt;",Main!H483,"&lt;/div&gt;&lt;br&gt;",IF(Main!A484="","&lt;/body&gt;
&lt;/html&gt;","")),"")</f>
        <v/>
      </c>
    </row>
    <row r="482" spans="1:1" x14ac:dyDescent="0.25">
      <c r="A482" s="1" t="str">
        <f>IF(Main!A484&lt;&gt;"",CONCATENATE("&lt;div class='String_ID_ISSUE'&gt;&lt;b&gt;ID: ",Main!A484,"&lt;/b&gt; - &lt;i&gt;",Main!I484,"pt, tracking ",Main!J484,", ",Main!K484," line(s)&lt;/i&gt;&lt;/div&gt;&lt;div class=""",Main!N484,""" style='width:",Main!M484,"px; height:",Main!L484,"px'&gt;",Main!H484,"&lt;/div&gt;&lt;br&gt;",IF(Main!A485="","&lt;/body&gt;
&lt;/html&gt;","")),"")</f>
        <v/>
      </c>
    </row>
    <row r="483" spans="1:1" x14ac:dyDescent="0.25">
      <c r="A483" s="1" t="str">
        <f>IF(Main!A485&lt;&gt;"",CONCATENATE("&lt;div class='String_ID_ISSUE'&gt;&lt;b&gt;ID: ",Main!A485,"&lt;/b&gt; - &lt;i&gt;",Main!I485,"pt, tracking ",Main!J485,", ",Main!K485," line(s)&lt;/i&gt;&lt;/div&gt;&lt;div class=""",Main!N485,""" style='width:",Main!M485,"px; height:",Main!L485,"px'&gt;",Main!H485,"&lt;/div&gt;&lt;br&gt;",IF(Main!A486="","&lt;/body&gt;
&lt;/html&gt;","")),"")</f>
        <v/>
      </c>
    </row>
    <row r="484" spans="1:1" x14ac:dyDescent="0.25">
      <c r="A484" s="1" t="str">
        <f>IF(Main!A486&lt;&gt;"",CONCATENATE("&lt;div class='String_ID_ISSUE'&gt;&lt;b&gt;ID: ",Main!A486,"&lt;/b&gt; - &lt;i&gt;",Main!I486,"pt, tracking ",Main!J486,", ",Main!K486," line(s)&lt;/i&gt;&lt;/div&gt;&lt;div class=""",Main!N486,""" style='width:",Main!M486,"px; height:",Main!L486,"px'&gt;",Main!H486,"&lt;/div&gt;&lt;br&gt;",IF(Main!A487="","&lt;/body&gt;
&lt;/html&gt;","")),"")</f>
        <v/>
      </c>
    </row>
    <row r="485" spans="1:1" x14ac:dyDescent="0.25">
      <c r="A485" s="1" t="str">
        <f>IF(Main!A487&lt;&gt;"",CONCATENATE("&lt;div class='String_ID_ISSUE'&gt;&lt;b&gt;ID: ",Main!A487,"&lt;/b&gt; - &lt;i&gt;",Main!I487,"pt, tracking ",Main!J487,", ",Main!K487," line(s)&lt;/i&gt;&lt;/div&gt;&lt;div class=""",Main!N487,""" style='width:",Main!M487,"px; height:",Main!L487,"px'&gt;",Main!H487,"&lt;/div&gt;&lt;br&gt;",IF(Main!A488="","&lt;/body&gt;
&lt;/html&gt;","")),"")</f>
        <v/>
      </c>
    </row>
    <row r="486" spans="1:1" x14ac:dyDescent="0.25">
      <c r="A486" s="1" t="str">
        <f>IF(Main!A488&lt;&gt;"",CONCATENATE("&lt;div class='String_ID_ISSUE'&gt;&lt;b&gt;ID: ",Main!A488,"&lt;/b&gt; - &lt;i&gt;",Main!I488,"pt, tracking ",Main!J488,", ",Main!K488," line(s)&lt;/i&gt;&lt;/div&gt;&lt;div class=""",Main!N488,""" style='width:",Main!M488,"px; height:",Main!L488,"px'&gt;",Main!H488,"&lt;/div&gt;&lt;br&gt;",IF(Main!A489="","&lt;/body&gt;
&lt;/html&gt;","")),"")</f>
        <v/>
      </c>
    </row>
    <row r="487" spans="1:1" x14ac:dyDescent="0.25">
      <c r="A487" s="1" t="str">
        <f>IF(Main!A489&lt;&gt;"",CONCATENATE("&lt;div class='String_ID_ISSUE'&gt;&lt;b&gt;ID: ",Main!A489,"&lt;/b&gt; - &lt;i&gt;",Main!I489,"pt, tracking ",Main!J489,", ",Main!K489," line(s)&lt;/i&gt;&lt;/div&gt;&lt;div class=""",Main!N489,""" style='width:",Main!M489,"px; height:",Main!L489,"px'&gt;",Main!H489,"&lt;/div&gt;&lt;br&gt;",IF(Main!A490="","&lt;/body&gt;
&lt;/html&gt;","")),"")</f>
        <v/>
      </c>
    </row>
    <row r="488" spans="1:1" x14ac:dyDescent="0.25">
      <c r="A488" s="1" t="str">
        <f>IF(Main!A490&lt;&gt;"",CONCATENATE("&lt;div class='String_ID_ISSUE'&gt;&lt;b&gt;ID: ",Main!A490,"&lt;/b&gt; - &lt;i&gt;",Main!I490,"pt, tracking ",Main!J490,", ",Main!K490," line(s)&lt;/i&gt;&lt;/div&gt;&lt;div class=""",Main!N490,""" style='width:",Main!M490,"px; height:",Main!L490,"px'&gt;",Main!H490,"&lt;/div&gt;&lt;br&gt;",IF(Main!A491="","&lt;/body&gt;
&lt;/html&gt;","")),"")</f>
        <v/>
      </c>
    </row>
    <row r="489" spans="1:1" x14ac:dyDescent="0.25">
      <c r="A489" s="1" t="str">
        <f>IF(Main!A491&lt;&gt;"",CONCATENATE("&lt;div class='String_ID_ISSUE'&gt;&lt;b&gt;ID: ",Main!A491,"&lt;/b&gt; - &lt;i&gt;",Main!I491,"pt, tracking ",Main!J491,", ",Main!K491," line(s)&lt;/i&gt;&lt;/div&gt;&lt;div class=""",Main!N491,""" style='width:",Main!M491,"px; height:",Main!L491,"px'&gt;",Main!H491,"&lt;/div&gt;&lt;br&gt;",IF(Main!A492="","&lt;/body&gt;
&lt;/html&gt;","")),"")</f>
        <v/>
      </c>
    </row>
    <row r="490" spans="1:1" x14ac:dyDescent="0.25">
      <c r="A490" s="1" t="str">
        <f>IF(Main!A492&lt;&gt;"",CONCATENATE("&lt;div class='String_ID_ISSUE'&gt;&lt;b&gt;ID: ",Main!A492,"&lt;/b&gt; - &lt;i&gt;",Main!I492,"pt, tracking ",Main!J492,", ",Main!K492," line(s)&lt;/i&gt;&lt;/div&gt;&lt;div class=""",Main!N492,""" style='width:",Main!M492,"px; height:",Main!L492,"px'&gt;",Main!H492,"&lt;/div&gt;&lt;br&gt;",IF(Main!A493="","&lt;/body&gt;
&lt;/html&gt;","")),"")</f>
        <v/>
      </c>
    </row>
    <row r="491" spans="1:1" x14ac:dyDescent="0.25">
      <c r="A491" s="1" t="str">
        <f>IF(Main!A493&lt;&gt;"",CONCATENATE("&lt;div class='String_ID_ISSUE'&gt;&lt;b&gt;ID: ",Main!A493,"&lt;/b&gt; - &lt;i&gt;",Main!I493,"pt, tracking ",Main!J493,", ",Main!K493," line(s)&lt;/i&gt;&lt;/div&gt;&lt;div class=""",Main!N493,""" style='width:",Main!M493,"px; height:",Main!L493,"px'&gt;",Main!H493,"&lt;/div&gt;&lt;br&gt;",IF(Main!A494="","&lt;/body&gt;
&lt;/html&gt;","")),"")</f>
        <v/>
      </c>
    </row>
    <row r="492" spans="1:1" x14ac:dyDescent="0.25">
      <c r="A492" s="1" t="str">
        <f>IF(Main!A494&lt;&gt;"",CONCATENATE("&lt;div class='String_ID_ISSUE'&gt;&lt;b&gt;ID: ",Main!A494,"&lt;/b&gt; - &lt;i&gt;",Main!I494,"pt, tracking ",Main!J494,", ",Main!K494," line(s)&lt;/i&gt;&lt;/div&gt;&lt;div class=""",Main!N494,""" style='width:",Main!M494,"px; height:",Main!L494,"px'&gt;",Main!H494,"&lt;/div&gt;&lt;br&gt;",IF(Main!A495="","&lt;/body&gt;
&lt;/html&gt;","")),"")</f>
        <v/>
      </c>
    </row>
    <row r="493" spans="1:1" x14ac:dyDescent="0.25">
      <c r="A493" s="1" t="str">
        <f>IF(Main!A495&lt;&gt;"",CONCATENATE("&lt;div class='String_ID_ISSUE'&gt;&lt;b&gt;ID: ",Main!A495,"&lt;/b&gt; - &lt;i&gt;",Main!I495,"pt, tracking ",Main!J495,", ",Main!K495," line(s)&lt;/i&gt;&lt;/div&gt;&lt;div class=""",Main!N495,""" style='width:",Main!M495,"px; height:",Main!L495,"px'&gt;",Main!H495,"&lt;/div&gt;&lt;br&gt;",IF(Main!A496="","&lt;/body&gt;
&lt;/html&gt;","")),"")</f>
        <v/>
      </c>
    </row>
    <row r="494" spans="1:1" x14ac:dyDescent="0.25">
      <c r="A494" s="1" t="str">
        <f>IF(Main!A496&lt;&gt;"",CONCATENATE("&lt;div class='String_ID_ISSUE'&gt;&lt;b&gt;ID: ",Main!A496,"&lt;/b&gt; - &lt;i&gt;",Main!I496,"pt, tracking ",Main!J496,", ",Main!K496," line(s)&lt;/i&gt;&lt;/div&gt;&lt;div class=""",Main!N496,""" style='width:",Main!M496,"px; height:",Main!L496,"px'&gt;",Main!H496,"&lt;/div&gt;&lt;br&gt;",IF(Main!A497="","&lt;/body&gt;
&lt;/html&gt;","")),"")</f>
        <v/>
      </c>
    </row>
    <row r="495" spans="1:1" x14ac:dyDescent="0.25">
      <c r="A495" s="1" t="str">
        <f>IF(Main!A497&lt;&gt;"",CONCATENATE("&lt;div class='String_ID_ISSUE'&gt;&lt;b&gt;ID: ",Main!A497,"&lt;/b&gt; - &lt;i&gt;",Main!I497,"pt, tracking ",Main!J497,", ",Main!K497," line(s)&lt;/i&gt;&lt;/div&gt;&lt;div class=""",Main!N497,""" style='width:",Main!M497,"px; height:",Main!L497,"px'&gt;",Main!H497,"&lt;/div&gt;&lt;br&gt;",IF(Main!A498="","&lt;/body&gt;
&lt;/html&gt;","")),"")</f>
        <v/>
      </c>
    </row>
    <row r="496" spans="1:1" x14ac:dyDescent="0.25">
      <c r="A496" s="1" t="str">
        <f>IF(Main!A498&lt;&gt;"",CONCATENATE("&lt;div class='String_ID_ISSUE'&gt;&lt;b&gt;ID: ",Main!A498,"&lt;/b&gt; - &lt;i&gt;",Main!I498,"pt, tracking ",Main!J498,", ",Main!K498," line(s)&lt;/i&gt;&lt;/div&gt;&lt;div class=""",Main!N498,""" style='width:",Main!M498,"px; height:",Main!L498,"px'&gt;",Main!H498,"&lt;/div&gt;&lt;br&gt;",IF(Main!A499="","&lt;/body&gt;
&lt;/html&gt;","")),"")</f>
        <v/>
      </c>
    </row>
    <row r="497" spans="1:1" x14ac:dyDescent="0.25">
      <c r="A497" s="1" t="str">
        <f>IF(Main!A499&lt;&gt;"",CONCATENATE("&lt;div class='String_ID_ISSUE'&gt;&lt;b&gt;ID: ",Main!A499,"&lt;/b&gt; - &lt;i&gt;",Main!I499,"pt, tracking ",Main!J499,", ",Main!K499," line(s)&lt;/i&gt;&lt;/div&gt;&lt;div class=""",Main!N499,""" style='width:",Main!M499,"px; height:",Main!L499,"px'&gt;",Main!H499,"&lt;/div&gt;&lt;br&gt;",IF(Main!A500="","&lt;/body&gt;
&lt;/html&gt;","")),"")</f>
        <v/>
      </c>
    </row>
    <row r="498" spans="1:1" x14ac:dyDescent="0.25">
      <c r="A498" s="1" t="str">
        <f>IF(Main!A500&lt;&gt;"",CONCATENATE("&lt;div class='String_ID_ISSUE'&gt;&lt;b&gt;ID: ",Main!A500,"&lt;/b&gt; - &lt;i&gt;",Main!I500,"pt, tracking ",Main!J500,", ",Main!K500," line(s)&lt;/i&gt;&lt;/div&gt;&lt;div class=""",Main!N500,""" style='width:",Main!M500,"px; height:",Main!L500,"px'&gt;",Main!H500,"&lt;/div&gt;&lt;br&gt;",IF(Main!A501="","&lt;/body&gt;
&lt;/html&gt;","")),"")</f>
        <v/>
      </c>
    </row>
    <row r="499" spans="1:1" x14ac:dyDescent="0.25">
      <c r="A499" s="1" t="str">
        <f>IF(Main!A501&lt;&gt;"",CONCATENATE("&lt;div class='String_ID_ISSUE'&gt;&lt;b&gt;ID: ",Main!A501,"&lt;/b&gt; - &lt;i&gt;",Main!I501,"pt, tracking ",Main!J501,", ",Main!K501," line(s)&lt;/i&gt;&lt;/div&gt;&lt;div class=""",Main!N501,""" style='width:",Main!M501,"px; height:",Main!L501,"px'&gt;",Main!H501,"&lt;/div&gt;&lt;br&gt;",IF(Main!A502="","&lt;/body&gt;
&lt;/html&gt;","")),"")</f>
        <v/>
      </c>
    </row>
    <row r="500" spans="1:1" x14ac:dyDescent="0.25">
      <c r="A500" s="1" t="str">
        <f>IF(Main!A502&lt;&gt;"",CONCATENATE("&lt;div class='String_ID_ISSUE'&gt;&lt;b&gt;ID: ",Main!A502,"&lt;/b&gt; - &lt;i&gt;",Main!I502,"pt, tracking ",Main!J502,", ",Main!K502," line(s)&lt;/i&gt;&lt;/div&gt;&lt;div class=""",Main!N502,""" style='width:",Main!M502,"px; height:",Main!L502,"px'&gt;",Main!H502,"&lt;/div&gt;&lt;br&gt;",IF(Main!A503="","&lt;/body&gt;
&lt;/html&gt;","")),"")</f>
        <v/>
      </c>
    </row>
    <row r="501" spans="1:1" x14ac:dyDescent="0.25">
      <c r="A501" s="1" t="str">
        <f>IF(Main!A503&lt;&gt;"",CONCATENATE("&lt;div class='String_ID_ISSUE'&gt;&lt;b&gt;ID: ",Main!A503,"&lt;/b&gt; - &lt;i&gt;",Main!I503,"pt, tracking ",Main!J503,", ",Main!K503," line(s)&lt;/i&gt;&lt;/div&gt;&lt;div class=""",Main!N503,""" style='width:",Main!M503,"px; height:",Main!L503,"px'&gt;",Main!H503,"&lt;/div&gt;&lt;br&gt;",IF(Main!A504="","&lt;/body&gt;
&lt;/html&gt;","")),"")</f>
        <v/>
      </c>
    </row>
    <row r="502" spans="1:1" x14ac:dyDescent="0.25">
      <c r="A502" s="1" t="str">
        <f>IF(Main!A504&lt;&gt;"",CONCATENATE("&lt;div class='String_ID_ISSUE'&gt;&lt;b&gt;ID: ",Main!A504,"&lt;/b&gt; - &lt;i&gt;",Main!I504,"pt, tracking ",Main!J504,", ",Main!K504," line(s)&lt;/i&gt;&lt;/div&gt;&lt;div class=""",Main!N504,""" style='width:",Main!M504,"px; height:",Main!L504,"px'&gt;",Main!H504,"&lt;/div&gt;&lt;br&gt;",IF(Main!A505="","&lt;/body&gt;
&lt;/html&gt;","")),"")</f>
        <v/>
      </c>
    </row>
    <row r="503" spans="1:1" x14ac:dyDescent="0.25">
      <c r="A503" s="1" t="str">
        <f>IF(Main!A505&lt;&gt;"",CONCATENATE("&lt;div class='String_ID_ISSUE'&gt;&lt;b&gt;ID: ",Main!A505,"&lt;/b&gt; - &lt;i&gt;",Main!I505,"pt, tracking ",Main!J505,", ",Main!K505," line(s)&lt;/i&gt;&lt;/div&gt;&lt;div class=""",Main!N505,""" style='width:",Main!M505,"px; height:",Main!L505,"px'&gt;",Main!H505,"&lt;/div&gt;&lt;br&gt;",IF(Main!A506="","&lt;/body&gt;
&lt;/html&gt;","")),"")</f>
        <v/>
      </c>
    </row>
  </sheetData>
  <sheetProtection algorithmName="SHA-512" hashValue="6WvLRN4PYsj+sYnBTDTb4qO7A7AJbAvyqUhCaGBFqbKk8YNgao+B9XoCt+Id7PZwrLMZArfCXj3HD6SYMEuMMg==" saltValue="rB+Lfp5WzevGj6DyccaVMA==" spinCount="100000"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Main</vt:lpstr>
      <vt:lpstr>HiddenWorkings</vt:lpstr>
      <vt:lpstr>Languages</vt:lpstr>
    </vt:vector>
  </TitlesOfParts>
  <Company>Jaguar Land Rover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Osborne, Adam (A.R.J.)</dc:creator>
  <cp:lastModifiedBy>Osborne, Adam (A.R.J.)</cp:lastModifiedBy>
  <dcterms:created xsi:type="dcterms:W3CDTF">2018-06-14T13:01:51Z</dcterms:created>
  <dcterms:modified xsi:type="dcterms:W3CDTF">2018-06-15T11:09:08Z</dcterms:modified>
</cp:coreProperties>
</file>